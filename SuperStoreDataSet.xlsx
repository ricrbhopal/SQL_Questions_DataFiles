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ack\Documents\DBMS\"/>
    </mc:Choice>
  </mc:AlternateContent>
  <xr:revisionPtr revIDLastSave="0" documentId="8_{DCB821E6-D05C-4846-B46F-86AB7C0902C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" sheetId="1" r:id="rId1"/>
    <sheet name="Customer" sheetId="2" r:id="rId2"/>
    <sheet name="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" i="1"/>
</calcChain>
</file>

<file path=xl/sharedStrings.xml><?xml version="1.0" encoding="utf-8"?>
<sst xmlns="http://schemas.openxmlformats.org/spreadsheetml/2006/main" count="6297" uniqueCount="1909">
  <si>
    <t>Category</t>
  </si>
  <si>
    <t>SubCategory</t>
  </si>
  <si>
    <t>ELE-MOB-001</t>
  </si>
  <si>
    <t>ELE-MOB-002</t>
  </si>
  <si>
    <t>ELE-MOB-003</t>
  </si>
  <si>
    <t>ELE-MOB-004</t>
  </si>
  <si>
    <t>ELE-MOB-005</t>
  </si>
  <si>
    <t>ELE-MOB-006</t>
  </si>
  <si>
    <t>ELE-MOB-007</t>
  </si>
  <si>
    <t>ELE-MOB-008</t>
  </si>
  <si>
    <t>ELE-MOB-009</t>
  </si>
  <si>
    <t>ELE-MOB-010</t>
  </si>
  <si>
    <t>ELE-LAP-011</t>
  </si>
  <si>
    <t>ELE-LAP-012</t>
  </si>
  <si>
    <t>ELE-LAP-013</t>
  </si>
  <si>
    <t>ELE-LAP-014</t>
  </si>
  <si>
    <t>ELE-LAP-015</t>
  </si>
  <si>
    <t>ELE-LAP-016</t>
  </si>
  <si>
    <t>ELE-LAP-017</t>
  </si>
  <si>
    <t>ELE-LAP-018</t>
  </si>
  <si>
    <t>ELE-LAP-019</t>
  </si>
  <si>
    <t>ELE-LAP-020</t>
  </si>
  <si>
    <t>ELE-ACC-021</t>
  </si>
  <si>
    <t>ELE-ACC-022</t>
  </si>
  <si>
    <t>ELE-ACC-023</t>
  </si>
  <si>
    <t>ELE-ACC-024</t>
  </si>
  <si>
    <t>ELE-ACC-025</t>
  </si>
  <si>
    <t>ELE-ACC-026</t>
  </si>
  <si>
    <t>ELE-ACC-027</t>
  </si>
  <si>
    <t>ELE-ACC-028</t>
  </si>
  <si>
    <t>ELE-ACC-029</t>
  </si>
  <si>
    <t>ELE-ACC-030</t>
  </si>
  <si>
    <t>ELE-CAM-031</t>
  </si>
  <si>
    <t>ELE-CAM-032</t>
  </si>
  <si>
    <t>ELE-CAM-033</t>
  </si>
  <si>
    <t>ELE-CAM-034</t>
  </si>
  <si>
    <t>ELE-CAM-035</t>
  </si>
  <si>
    <t>ELE-CAM-036</t>
  </si>
  <si>
    <t>ELE-CAM-037</t>
  </si>
  <si>
    <t>ELE-CAM-038</t>
  </si>
  <si>
    <t>ELE-CAM-039</t>
  </si>
  <si>
    <t>ELE-CAM-040</t>
  </si>
  <si>
    <t>FAS-MEN-041</t>
  </si>
  <si>
    <t>FAS-MEN-042</t>
  </si>
  <si>
    <t>FAS-MEN-043</t>
  </si>
  <si>
    <t>FAS-MEN-044</t>
  </si>
  <si>
    <t>FAS-MEN-045</t>
  </si>
  <si>
    <t>FAS-MEN-046</t>
  </si>
  <si>
    <t>FAS-MEN-047</t>
  </si>
  <si>
    <t>FAS-MEN-048</t>
  </si>
  <si>
    <t>FAS-MEN-049</t>
  </si>
  <si>
    <t>FAS-MEN-050</t>
  </si>
  <si>
    <t>FAS-WOM-051</t>
  </si>
  <si>
    <t>FAS-WOM-052</t>
  </si>
  <si>
    <t>FAS-WOM-053</t>
  </si>
  <si>
    <t>FAS-WOM-054</t>
  </si>
  <si>
    <t>FAS-WOM-055</t>
  </si>
  <si>
    <t>FAS-WOM-056</t>
  </si>
  <si>
    <t>FAS-WOM-057</t>
  </si>
  <si>
    <t>FAS-WOM-058</t>
  </si>
  <si>
    <t>FAS-WOM-059</t>
  </si>
  <si>
    <t>FAS-WOM-060</t>
  </si>
  <si>
    <t>FAS-KID-061</t>
  </si>
  <si>
    <t>FAS-KID-062</t>
  </si>
  <si>
    <t>FAS-KID-063</t>
  </si>
  <si>
    <t>FAS-KID-064</t>
  </si>
  <si>
    <t>FAS-KID-065</t>
  </si>
  <si>
    <t>FAS-KID-066</t>
  </si>
  <si>
    <t>FAS-KID-067</t>
  </si>
  <si>
    <t>FAS-KID-068</t>
  </si>
  <si>
    <t>FAS-KID-069</t>
  </si>
  <si>
    <t>FAS-KID-070</t>
  </si>
  <si>
    <t>FAS-FOO-071</t>
  </si>
  <si>
    <t>FAS-FOO-072</t>
  </si>
  <si>
    <t>FAS-FOO-073</t>
  </si>
  <si>
    <t>FAS-FOO-074</t>
  </si>
  <si>
    <t>FAS-FOO-075</t>
  </si>
  <si>
    <t>FAS-FOO-076</t>
  </si>
  <si>
    <t>FAS-FOO-077</t>
  </si>
  <si>
    <t>FAS-FOO-078</t>
  </si>
  <si>
    <t>FAS-FOO-079</t>
  </si>
  <si>
    <t>FAS-FOO-080</t>
  </si>
  <si>
    <t>HOM-KIT-081</t>
  </si>
  <si>
    <t>HOM-KIT-082</t>
  </si>
  <si>
    <t>HOM-KIT-083</t>
  </si>
  <si>
    <t>HOM-KIT-084</t>
  </si>
  <si>
    <t>HOM-KIT-085</t>
  </si>
  <si>
    <t>HOM-KIT-086</t>
  </si>
  <si>
    <t>HOM-KIT-087</t>
  </si>
  <si>
    <t>HOM-KIT-088</t>
  </si>
  <si>
    <t>HOM-KIT-089</t>
  </si>
  <si>
    <t>HOM-KIT-090</t>
  </si>
  <si>
    <t>HOM-DEC-091</t>
  </si>
  <si>
    <t>HOM-DEC-092</t>
  </si>
  <si>
    <t>HOM-DEC-093</t>
  </si>
  <si>
    <t>HOM-DEC-094</t>
  </si>
  <si>
    <t>HOM-DEC-095</t>
  </si>
  <si>
    <t>HOM-DEC-096</t>
  </si>
  <si>
    <t>HOM-DEC-097</t>
  </si>
  <si>
    <t>HOM-DEC-098</t>
  </si>
  <si>
    <t>HOM-DEC-099</t>
  </si>
  <si>
    <t>HOM-DEC-100</t>
  </si>
  <si>
    <t>HOM-APP-101</t>
  </si>
  <si>
    <t>HOM-APP-102</t>
  </si>
  <si>
    <t>HOM-APP-103</t>
  </si>
  <si>
    <t>HOM-APP-104</t>
  </si>
  <si>
    <t>HOM-APP-105</t>
  </si>
  <si>
    <t>HOM-APP-106</t>
  </si>
  <si>
    <t>HOM-APP-107</t>
  </si>
  <si>
    <t>HOM-APP-108</t>
  </si>
  <si>
    <t>HOM-APP-109</t>
  </si>
  <si>
    <t>HOM-APP-110</t>
  </si>
  <si>
    <t>HOM-FUR-111</t>
  </si>
  <si>
    <t>HOM-FUR-112</t>
  </si>
  <si>
    <t>HOM-FUR-113</t>
  </si>
  <si>
    <t>HOM-FUR-114</t>
  </si>
  <si>
    <t>HOM-FUR-115</t>
  </si>
  <si>
    <t>HOM-FUR-116</t>
  </si>
  <si>
    <t>HOM-FUR-117</t>
  </si>
  <si>
    <t>HOM-FUR-118</t>
  </si>
  <si>
    <t>HOM-FUR-119</t>
  </si>
  <si>
    <t>HOM-FUR-120</t>
  </si>
  <si>
    <t>SPO-FIT-121</t>
  </si>
  <si>
    <t>SPO-FIT-122</t>
  </si>
  <si>
    <t>SPO-FIT-123</t>
  </si>
  <si>
    <t>SPO-FIT-124</t>
  </si>
  <si>
    <t>SPO-FIT-125</t>
  </si>
  <si>
    <t>SPO-FIT-126</t>
  </si>
  <si>
    <t>SPO-FIT-127</t>
  </si>
  <si>
    <t>SPO-FIT-128</t>
  </si>
  <si>
    <t>SPO-FIT-129</t>
  </si>
  <si>
    <t>SPO-FIT-130</t>
  </si>
  <si>
    <t>SPO-OUT-131</t>
  </si>
  <si>
    <t>SPO-OUT-132</t>
  </si>
  <si>
    <t>SPO-OUT-133</t>
  </si>
  <si>
    <t>SPO-OUT-134</t>
  </si>
  <si>
    <t>SPO-OUT-135</t>
  </si>
  <si>
    <t>SPO-OUT-136</t>
  </si>
  <si>
    <t>SPO-OUT-137</t>
  </si>
  <si>
    <t>SPO-OUT-138</t>
  </si>
  <si>
    <t>SPO-OUT-139</t>
  </si>
  <si>
    <t>SPO-OUT-140</t>
  </si>
  <si>
    <t>SPO-IND-141</t>
  </si>
  <si>
    <t>SPO-IND-142</t>
  </si>
  <si>
    <t>SPO-IND-143</t>
  </si>
  <si>
    <t>SPO-IND-144</t>
  </si>
  <si>
    <t>SPO-IND-145</t>
  </si>
  <si>
    <t>SPO-IND-146</t>
  </si>
  <si>
    <t>SPO-IND-147</t>
  </si>
  <si>
    <t>SPO-IND-148</t>
  </si>
  <si>
    <t>SPO-IND-149</t>
  </si>
  <si>
    <t>SPO-IND-150</t>
  </si>
  <si>
    <t>SPO-ACC-151</t>
  </si>
  <si>
    <t>SPO-ACC-152</t>
  </si>
  <si>
    <t>SPO-ACC-153</t>
  </si>
  <si>
    <t>SPO-ACC-154</t>
  </si>
  <si>
    <t>SPO-ACC-155</t>
  </si>
  <si>
    <t>SPO-ACC-156</t>
  </si>
  <si>
    <t>SPO-ACC-157</t>
  </si>
  <si>
    <t>SPO-ACC-158</t>
  </si>
  <si>
    <t>SPO-ACC-159</t>
  </si>
  <si>
    <t>SPO-ACC-160</t>
  </si>
  <si>
    <t>BEA-SKI-161</t>
  </si>
  <si>
    <t>BEA-SKI-162</t>
  </si>
  <si>
    <t>BEA-SKI-163</t>
  </si>
  <si>
    <t>BEA-SKI-164</t>
  </si>
  <si>
    <t>BEA-SKI-165</t>
  </si>
  <si>
    <t>BEA-SKI-166</t>
  </si>
  <si>
    <t>BEA-SKI-167</t>
  </si>
  <si>
    <t>BEA-SKI-168</t>
  </si>
  <si>
    <t>BEA-SKI-169</t>
  </si>
  <si>
    <t>BEA-SKI-170</t>
  </si>
  <si>
    <t>BEA-HAI-171</t>
  </si>
  <si>
    <t>BEA-HAI-172</t>
  </si>
  <si>
    <t>BEA-HAI-173</t>
  </si>
  <si>
    <t>BEA-HAI-174</t>
  </si>
  <si>
    <t>BEA-HAI-175</t>
  </si>
  <si>
    <t>BEA-HAI-176</t>
  </si>
  <si>
    <t>BEA-HAI-177</t>
  </si>
  <si>
    <t>BEA-HAI-178</t>
  </si>
  <si>
    <t>BEA-HAI-179</t>
  </si>
  <si>
    <t>BEA-HAI-180</t>
  </si>
  <si>
    <t>BEA-MAK-181</t>
  </si>
  <si>
    <t>BEA-MAK-182</t>
  </si>
  <si>
    <t>BEA-MAK-183</t>
  </si>
  <si>
    <t>BEA-MAK-184</t>
  </si>
  <si>
    <t>BEA-MAK-185</t>
  </si>
  <si>
    <t>BEA-MAK-186</t>
  </si>
  <si>
    <t>BEA-MAK-187</t>
  </si>
  <si>
    <t>BEA-MAK-188</t>
  </si>
  <si>
    <t>BEA-MAK-189</t>
  </si>
  <si>
    <t>BEA-MAK-190</t>
  </si>
  <si>
    <t>BEA-FRA-191</t>
  </si>
  <si>
    <t>BEA-FRA-192</t>
  </si>
  <si>
    <t>BEA-FRA-193</t>
  </si>
  <si>
    <t>BEA-FRA-194</t>
  </si>
  <si>
    <t>BEA-FRA-195</t>
  </si>
  <si>
    <t>BEA-FRA-196</t>
  </si>
  <si>
    <t>BEA-FRA-197</t>
  </si>
  <si>
    <t>BEA-FRA-198</t>
  </si>
  <si>
    <t>BEA-FRA-199</t>
  </si>
  <si>
    <t>BEA-FRA-200</t>
  </si>
  <si>
    <t>iPhone 14</t>
  </si>
  <si>
    <t>OnePlus Nord</t>
  </si>
  <si>
    <t>Samsung Galaxy A15</t>
  </si>
  <si>
    <t>Xiaomi Redmi Note</t>
  </si>
  <si>
    <t>Realme C35</t>
  </si>
  <si>
    <t>Dell Inspiron 3511</t>
  </si>
  <si>
    <t>Asus VivoBook</t>
  </si>
  <si>
    <t>HP Pavilion</t>
  </si>
  <si>
    <t>Lenovo ThinkPad</t>
  </si>
  <si>
    <t>MacBook Air</t>
  </si>
  <si>
    <t>Power Bank 10000mAh</t>
  </si>
  <si>
    <t>Bluetooth Earbuds</t>
  </si>
  <si>
    <t>Smart Watch</t>
  </si>
  <si>
    <t>Wireless Mouse</t>
  </si>
  <si>
    <t>USB-C Cable</t>
  </si>
  <si>
    <t>Nikon D3500</t>
  </si>
  <si>
    <t>Canon EOS 1500D</t>
  </si>
  <si>
    <t>Sony Alpha</t>
  </si>
  <si>
    <t>Fujifilm Instax</t>
  </si>
  <si>
    <t>Slim Fit Jeans</t>
  </si>
  <si>
    <t>Cotton Casual Shirt</t>
  </si>
  <si>
    <t>Denim Jacket</t>
  </si>
  <si>
    <t>Formal Trousers</t>
  </si>
  <si>
    <t>Embroidered Top</t>
  </si>
  <si>
    <t>Silk Designer Saree</t>
  </si>
  <si>
    <t>Floral Kurti</t>
  </si>
  <si>
    <t>Party Gown</t>
  </si>
  <si>
    <t>Cotton Leggings</t>
  </si>
  <si>
    <t>Kids Shorts</t>
  </si>
  <si>
    <t>Party Frock</t>
  </si>
  <si>
    <t>Cartoon T-shirt</t>
  </si>
  <si>
    <t>Kids Denim</t>
  </si>
  <si>
    <t>Infant Romper</t>
  </si>
  <si>
    <t>Adidas Sneakers</t>
  </si>
  <si>
    <t>Casual Slippers</t>
  </si>
  <si>
    <t>Nike Running Shoes</t>
  </si>
  <si>
    <t>Leather Formal Shoes</t>
  </si>
  <si>
    <t>Mixer Grinder</t>
  </si>
  <si>
    <t>Prestige Cooker 5L</t>
  </si>
  <si>
    <t>Electric Kettle</t>
  </si>
  <si>
    <t>Table Vase</t>
  </si>
  <si>
    <t>Curtain Set</t>
  </si>
  <si>
    <t>LED Lamp</t>
  </si>
  <si>
    <t>Wall Photo Frame</t>
  </si>
  <si>
    <t>Wall Clock</t>
  </si>
  <si>
    <t>Induction Cooktop</t>
  </si>
  <si>
    <t>Air Fryer</t>
  </si>
  <si>
    <t>Microwave Oven</t>
  </si>
  <si>
    <t>Air Purifier</t>
  </si>
  <si>
    <t>Bookshelf</t>
  </si>
  <si>
    <t>Office Chair</t>
  </si>
  <si>
    <t>Sofa Set</t>
  </si>
  <si>
    <t>TV Stand</t>
  </si>
  <si>
    <t>Yoga Mat Premium</t>
  </si>
  <si>
    <t>Treadmill</t>
  </si>
  <si>
    <t>Resistance Band</t>
  </si>
  <si>
    <t>Dumbbell Set</t>
  </si>
  <si>
    <t>Skipping Rope</t>
  </si>
  <si>
    <t>Cricket Bat</t>
  </si>
  <si>
    <t>Camping Tent</t>
  </si>
  <si>
    <t>Basketball</t>
  </si>
  <si>
    <t>Tennis Racket</t>
  </si>
  <si>
    <t>Table Tennis Kit</t>
  </si>
  <si>
    <t>Darts Board</t>
  </si>
  <si>
    <t>Chess Set</t>
  </si>
  <si>
    <t>Ludo Game</t>
  </si>
  <si>
    <t>Carrom Board</t>
  </si>
  <si>
    <t>Moisturizer</t>
  </si>
  <si>
    <t>Lakme Face Cream</t>
  </si>
  <si>
    <t>Aloe Vera Gel</t>
  </si>
  <si>
    <t>Sunscreen Lotion</t>
  </si>
  <si>
    <t>Face Wash</t>
  </si>
  <si>
    <t>Hair Serum</t>
  </si>
  <si>
    <t>Herbal Oil</t>
  </si>
  <si>
    <t>Hair Color Kit</t>
  </si>
  <si>
    <t>Loreal Conditioner</t>
  </si>
  <si>
    <t>Dove Shampoo</t>
  </si>
  <si>
    <t>Compact Powder</t>
  </si>
  <si>
    <t>Nail Polish Set</t>
  </si>
  <si>
    <t>Maybelline Mascara</t>
  </si>
  <si>
    <t>Lakme Foundation</t>
  </si>
  <si>
    <t>NYKAA Lipstick</t>
  </si>
  <si>
    <t>Fogg Perfume</t>
  </si>
  <si>
    <t>Dior Cologne</t>
  </si>
  <si>
    <t>Luxury Perfume</t>
  </si>
  <si>
    <t>Floral Body Mist</t>
  </si>
  <si>
    <t>Electronics</t>
  </si>
  <si>
    <t>Fashion</t>
  </si>
  <si>
    <t>Sports</t>
  </si>
  <si>
    <t>Beauty</t>
  </si>
  <si>
    <t>Mobile</t>
  </si>
  <si>
    <t>Laptop</t>
  </si>
  <si>
    <t>Accessories</t>
  </si>
  <si>
    <t>Camera</t>
  </si>
  <si>
    <t>Men Wear</t>
  </si>
  <si>
    <t>Women Wear</t>
  </si>
  <si>
    <t>Kids Wear</t>
  </si>
  <si>
    <t>Footwear</t>
  </si>
  <si>
    <t>Kitchen</t>
  </si>
  <si>
    <t>Decor</t>
  </si>
  <si>
    <t>Appliances</t>
  </si>
  <si>
    <t>Furniture</t>
  </si>
  <si>
    <t>Fitness</t>
  </si>
  <si>
    <t>Outdoor</t>
  </si>
  <si>
    <t>Indoor</t>
  </si>
  <si>
    <t>Skincare</t>
  </si>
  <si>
    <t>Haircare</t>
  </si>
  <si>
    <t>Makeup</t>
  </si>
  <si>
    <t>Fragrance</t>
  </si>
  <si>
    <t>Home</t>
  </si>
  <si>
    <t>MRP</t>
  </si>
  <si>
    <t>ProductName</t>
  </si>
  <si>
    <t>ProductCode</t>
  </si>
  <si>
    <t>Regular</t>
  </si>
  <si>
    <t>Lucknow</t>
  </si>
  <si>
    <t>Arjun Gupta</t>
  </si>
  <si>
    <t>CX-120</t>
  </si>
  <si>
    <t>Wholesale</t>
  </si>
  <si>
    <t>Pune</t>
  </si>
  <si>
    <t>Vikram Saxena</t>
  </si>
  <si>
    <t>CX-119</t>
  </si>
  <si>
    <t>Kavita Yadav</t>
  </si>
  <si>
    <t>CX-118</t>
  </si>
  <si>
    <t>Premium</t>
  </si>
  <si>
    <t>Bengaluru</t>
  </si>
  <si>
    <t>Vikram Chopra</t>
  </si>
  <si>
    <t>CX-117</t>
  </si>
  <si>
    <t>Chandigarh</t>
  </si>
  <si>
    <t>Sneha Jain</t>
  </si>
  <si>
    <t>CX-116</t>
  </si>
  <si>
    <t>Online</t>
  </si>
  <si>
    <t>Jaipur</t>
  </si>
  <si>
    <t>Rahul Thakur</t>
  </si>
  <si>
    <t>CX-115</t>
  </si>
  <si>
    <t>Neha Patel</t>
  </si>
  <si>
    <t>CX-114</t>
  </si>
  <si>
    <t>Amit Sharma</t>
  </si>
  <si>
    <t>CX-113</t>
  </si>
  <si>
    <t>Mumbai</t>
  </si>
  <si>
    <t>Rohit Thakur</t>
  </si>
  <si>
    <t>CX-112</t>
  </si>
  <si>
    <t>Kavita Patel</t>
  </si>
  <si>
    <t>CX-111</t>
  </si>
  <si>
    <t>Retail</t>
  </si>
  <si>
    <t>Delhi</t>
  </si>
  <si>
    <t>Manish Malhotra</t>
  </si>
  <si>
    <t>CX-110</t>
  </si>
  <si>
    <t>Rahul Yadav</t>
  </si>
  <si>
    <t>CX-109</t>
  </si>
  <si>
    <t>Anjali Singh</t>
  </si>
  <si>
    <t>CX-108</t>
  </si>
  <si>
    <t>Hyderabad</t>
  </si>
  <si>
    <t>CX-107</t>
  </si>
  <si>
    <t>Simran Sharma</t>
  </si>
  <si>
    <t>CX-106</t>
  </si>
  <si>
    <t>Meena Agarwal</t>
  </si>
  <si>
    <t>CX-105</t>
  </si>
  <si>
    <t>Priya Yadav</t>
  </si>
  <si>
    <t>CX-104</t>
  </si>
  <si>
    <t>Pooja Khan</t>
  </si>
  <si>
    <t>CX-103</t>
  </si>
  <si>
    <t>Rohit Mishra</t>
  </si>
  <si>
    <t>CX-102</t>
  </si>
  <si>
    <t>Rohit Agarwal</t>
  </si>
  <si>
    <t>CX-101</t>
  </si>
  <si>
    <t>Anita Khan</t>
  </si>
  <si>
    <t>CX-100</t>
  </si>
  <si>
    <t>Anita Mishra</t>
  </si>
  <si>
    <t>CX-099</t>
  </si>
  <si>
    <t>Amit Yadav</t>
  </si>
  <si>
    <t>CX-098</t>
  </si>
  <si>
    <t>Karan Khan</t>
  </si>
  <si>
    <t>CX-097</t>
  </si>
  <si>
    <t>Kolkata</t>
  </si>
  <si>
    <t>CX-096</t>
  </si>
  <si>
    <t>Rahul Singh</t>
  </si>
  <si>
    <t>CX-095</t>
  </si>
  <si>
    <t>Manish Chopra</t>
  </si>
  <si>
    <t>CX-094</t>
  </si>
  <si>
    <t>Priya Saxena</t>
  </si>
  <si>
    <t>CX-093</t>
  </si>
  <si>
    <t>Meena Singh</t>
  </si>
  <si>
    <t>CX-092</t>
  </si>
  <si>
    <t>Chennai</t>
  </si>
  <si>
    <t>Arjun Patel</t>
  </si>
  <si>
    <t>CX-091</t>
  </si>
  <si>
    <t>Raj Rajput</t>
  </si>
  <si>
    <t>CX-090</t>
  </si>
  <si>
    <t>Sneha Chopra</t>
  </si>
  <si>
    <t>CX-089</t>
  </si>
  <si>
    <t>Karan Rajput</t>
  </si>
  <si>
    <t>CX-088</t>
  </si>
  <si>
    <t>Anita Chopra</t>
  </si>
  <si>
    <t>CX-087</t>
  </si>
  <si>
    <t>Vikram Bansal</t>
  </si>
  <si>
    <t>CX-086</t>
  </si>
  <si>
    <t>Rahul Saxena</t>
  </si>
  <si>
    <t>CX-085</t>
  </si>
  <si>
    <t>Amit Singh</t>
  </si>
  <si>
    <t>CX-084</t>
  </si>
  <si>
    <t>Rohit Joshi</t>
  </si>
  <si>
    <t>CX-083</t>
  </si>
  <si>
    <t>Pooja Gupta</t>
  </si>
  <si>
    <t>CX-082</t>
  </si>
  <si>
    <t>Neha Malhotra</t>
  </si>
  <si>
    <t>CX-081</t>
  </si>
  <si>
    <t>CX-080</t>
  </si>
  <si>
    <t>Vikram Agarwal</t>
  </si>
  <si>
    <t>CX-079</t>
  </si>
  <si>
    <t>Amit Rana</t>
  </si>
  <si>
    <t>CX-078</t>
  </si>
  <si>
    <t>Anita Verma</t>
  </si>
  <si>
    <t>CX-077</t>
  </si>
  <si>
    <t>Vikram Rana</t>
  </si>
  <si>
    <t>CX-076</t>
  </si>
  <si>
    <t>Sanjay Sharma</t>
  </si>
  <si>
    <t>CX-075</t>
  </si>
  <si>
    <t>Anjali Yadav</t>
  </si>
  <si>
    <t>CX-074</t>
  </si>
  <si>
    <t>Sneha Dubey</t>
  </si>
  <si>
    <t>CX-073</t>
  </si>
  <si>
    <t>Manish Khan</t>
  </si>
  <si>
    <t>CX-072</t>
  </si>
  <si>
    <t>Karan Verma</t>
  </si>
  <si>
    <t>CX-071</t>
  </si>
  <si>
    <t>CX-070</t>
  </si>
  <si>
    <t>Sneha Malhotra</t>
  </si>
  <si>
    <t>CX-069</t>
  </si>
  <si>
    <t>Anjali Rana</t>
  </si>
  <si>
    <t>CX-068</t>
  </si>
  <si>
    <t>Ravi Agarwal</t>
  </si>
  <si>
    <t>CX-067</t>
  </si>
  <si>
    <t>Amit Chopra</t>
  </si>
  <si>
    <t>CX-066</t>
  </si>
  <si>
    <t>CX-065</t>
  </si>
  <si>
    <t>CX-064</t>
  </si>
  <si>
    <t>Priya Mishra</t>
  </si>
  <si>
    <t>CX-063</t>
  </si>
  <si>
    <t>Rohit Singh</t>
  </si>
  <si>
    <t>CX-062</t>
  </si>
  <si>
    <t>Pooja Malhotra</t>
  </si>
  <si>
    <t>CX-061</t>
  </si>
  <si>
    <t>Neha Rana</t>
  </si>
  <si>
    <t>CX-060</t>
  </si>
  <si>
    <t>Kavita Dubey</t>
  </si>
  <si>
    <t>CX-059</t>
  </si>
  <si>
    <t>CX-058</t>
  </si>
  <si>
    <t>Vikram Khan</t>
  </si>
  <si>
    <t>CX-057</t>
  </si>
  <si>
    <t>Simran Mishra</t>
  </si>
  <si>
    <t>CX-056</t>
  </si>
  <si>
    <t>Rahul Jain</t>
  </si>
  <si>
    <t>CX-055</t>
  </si>
  <si>
    <t>Meena Mishra</t>
  </si>
  <si>
    <t>CX-054</t>
  </si>
  <si>
    <t>Arjun Verma</t>
  </si>
  <si>
    <t>CX-053</t>
  </si>
  <si>
    <t>Pooja Chopra</t>
  </si>
  <si>
    <t>CX-052</t>
  </si>
  <si>
    <t>Anita Dubey</t>
  </si>
  <si>
    <t>CX-051</t>
  </si>
  <si>
    <t>Rohit Yadav</t>
  </si>
  <si>
    <t>CX-050</t>
  </si>
  <si>
    <t>CX-049</t>
  </si>
  <si>
    <t>Simran Singh</t>
  </si>
  <si>
    <t>CX-048</t>
  </si>
  <si>
    <t>Neha Thakur</t>
  </si>
  <si>
    <t>CX-047</t>
  </si>
  <si>
    <t>Priya Malhotra</t>
  </si>
  <si>
    <t>CX-046</t>
  </si>
  <si>
    <t>Ravi Joshi</t>
  </si>
  <si>
    <t>CX-045</t>
  </si>
  <si>
    <t>Priya Chopra</t>
  </si>
  <si>
    <t>CX-044</t>
  </si>
  <si>
    <t>Anjali Rajput</t>
  </si>
  <si>
    <t>CX-043</t>
  </si>
  <si>
    <t>Karan Gupta</t>
  </si>
  <si>
    <t>CX-042</t>
  </si>
  <si>
    <t>Meena Gupta</t>
  </si>
  <si>
    <t>CX-041</t>
  </si>
  <si>
    <t>Simran Agarwal</t>
  </si>
  <si>
    <t>CX-040</t>
  </si>
  <si>
    <t>Karan Patel</t>
  </si>
  <si>
    <t>CX-039</t>
  </si>
  <si>
    <t>CX-038</t>
  </si>
  <si>
    <t>CX-037</t>
  </si>
  <si>
    <t>Anjali Joshi</t>
  </si>
  <si>
    <t>CX-036</t>
  </si>
  <si>
    <t>Meena Rajput</t>
  </si>
  <si>
    <t>CX-035</t>
  </si>
  <si>
    <t>Pooja Agarwal</t>
  </si>
  <si>
    <t>CX-034</t>
  </si>
  <si>
    <t>Manish Agarwal</t>
  </si>
  <si>
    <t>CX-033</t>
  </si>
  <si>
    <t>Rohit Rana</t>
  </si>
  <si>
    <t>CX-032</t>
  </si>
  <si>
    <t>Simran Dubey</t>
  </si>
  <si>
    <t>CX-031</t>
  </si>
  <si>
    <t>Kavita Mehta</t>
  </si>
  <si>
    <t>CX-030</t>
  </si>
  <si>
    <t>Karan Bansal</t>
  </si>
  <si>
    <t>CX-029</t>
  </si>
  <si>
    <t>Sneha Agarwal</t>
  </si>
  <si>
    <t>CX-028</t>
  </si>
  <si>
    <t>Anjali Mishra</t>
  </si>
  <si>
    <t>CX-027</t>
  </si>
  <si>
    <t>Divya Thakur</t>
  </si>
  <si>
    <t>CX-026</t>
  </si>
  <si>
    <t>Amit Mehta</t>
  </si>
  <si>
    <t>CX-025</t>
  </si>
  <si>
    <t>Karan Malhotra</t>
  </si>
  <si>
    <t>CX-024</t>
  </si>
  <si>
    <t>Kavita Verma</t>
  </si>
  <si>
    <t>CX-023</t>
  </si>
  <si>
    <t>Vikram Rajput</t>
  </si>
  <si>
    <t>CX-022</t>
  </si>
  <si>
    <t>CX-021</t>
  </si>
  <si>
    <t>Raj Agarwal</t>
  </si>
  <si>
    <t>CX-020</t>
  </si>
  <si>
    <t>Pooja Verma</t>
  </si>
  <si>
    <t>CX-019</t>
  </si>
  <si>
    <t>CX-018</t>
  </si>
  <si>
    <t>Divya Joshi</t>
  </si>
  <si>
    <t>CX-017</t>
  </si>
  <si>
    <t>Meena Joshi</t>
  </si>
  <si>
    <t>CX-016</t>
  </si>
  <si>
    <t>Divya Dubey</t>
  </si>
  <si>
    <t>CX-015</t>
  </si>
  <si>
    <t>Arjun Rajput</t>
  </si>
  <si>
    <t>CX-014</t>
  </si>
  <si>
    <t>Kavita Thakur</t>
  </si>
  <si>
    <t>CX-013</t>
  </si>
  <si>
    <t>Simran Rana</t>
  </si>
  <si>
    <t>CX-012</t>
  </si>
  <si>
    <t>Simran Yadav</t>
  </si>
  <si>
    <t>CX-011</t>
  </si>
  <si>
    <t>Pooja Singh</t>
  </si>
  <si>
    <t>CX-010</t>
  </si>
  <si>
    <t>Sanjay Saxena</t>
  </si>
  <si>
    <t>CX-009</t>
  </si>
  <si>
    <t>CX-008</t>
  </si>
  <si>
    <t>Arjun Khan</t>
  </si>
  <si>
    <t>CX-007</t>
  </si>
  <si>
    <t>Neha Sharma</t>
  </si>
  <si>
    <t>CX-006</t>
  </si>
  <si>
    <t>CX-005</t>
  </si>
  <si>
    <t>Vikram Yadav</t>
  </si>
  <si>
    <t>CX-004</t>
  </si>
  <si>
    <t>Kavita Jain</t>
  </si>
  <si>
    <t>CX-003</t>
  </si>
  <si>
    <t>Pooja Rana</t>
  </si>
  <si>
    <t>CX-002</t>
  </si>
  <si>
    <t>Pooja Yadav</t>
  </si>
  <si>
    <t>CX-001</t>
  </si>
  <si>
    <t>Type</t>
  </si>
  <si>
    <t>Phone</t>
  </si>
  <si>
    <t>City</t>
  </si>
  <si>
    <t>CustomerName</t>
  </si>
  <si>
    <t>CustomerCode</t>
  </si>
  <si>
    <t>Quantity</t>
  </si>
  <si>
    <t>ORD-00001</t>
  </si>
  <si>
    <t>Cash</t>
  </si>
  <si>
    <t>ORD-00002</t>
  </si>
  <si>
    <t>NetBanking</t>
  </si>
  <si>
    <t>ORD-00003</t>
  </si>
  <si>
    <t>Wallet</t>
  </si>
  <si>
    <t>ORD-00004</t>
  </si>
  <si>
    <t>ORD-00005</t>
  </si>
  <si>
    <t>UPI</t>
  </si>
  <si>
    <t>ORD-00006</t>
  </si>
  <si>
    <t>Card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</si>
  <si>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</si>
  <si>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</si>
  <si>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</si>
  <si>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</si>
  <si>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</si>
  <si>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</si>
  <si>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</si>
  <si>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</si>
  <si>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</si>
  <si>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</si>
  <si>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</si>
  <si>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</si>
  <si>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</si>
  <si>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</si>
  <si>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</si>
  <si>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</si>
  <si>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</si>
  <si>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</si>
  <si>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</si>
  <si>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</si>
  <si>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</si>
  <si>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</si>
  <si>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</si>
  <si>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</si>
  <si>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</si>
  <si>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</si>
  <si>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</si>
  <si>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</si>
  <si>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</si>
  <si>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</si>
  <si>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</si>
  <si>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</si>
  <si>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</si>
  <si>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</si>
  <si>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</si>
  <si>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</si>
  <si>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</si>
  <si>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</si>
  <si>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</si>
  <si>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</si>
  <si>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</si>
  <si>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</si>
  <si>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</si>
  <si>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</si>
  <si>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</si>
  <si>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</si>
  <si>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</si>
  <si>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</si>
  <si>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</si>
  <si>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</si>
  <si>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</si>
  <si>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</si>
  <si>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</si>
  <si>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</si>
  <si>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</si>
  <si>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</si>
  <si>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</si>
  <si>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</si>
  <si>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</si>
  <si>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</si>
  <si>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</si>
  <si>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</si>
  <si>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</si>
  <si>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</si>
  <si>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</si>
  <si>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</si>
  <si>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</si>
  <si>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</si>
  <si>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</si>
  <si>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</si>
  <si>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</si>
  <si>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</si>
  <si>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</si>
  <si>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</si>
  <si>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</si>
  <si>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</si>
  <si>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</si>
  <si>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</si>
  <si>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</si>
  <si>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</si>
  <si>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</si>
  <si>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</si>
  <si>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</si>
  <si>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</si>
  <si>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</si>
  <si>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</si>
  <si>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</si>
  <si>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</si>
  <si>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</si>
  <si>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</si>
  <si>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</si>
  <si>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</si>
  <si>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</si>
  <si>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</si>
  <si>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</si>
  <si>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</si>
  <si>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</si>
  <si>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</si>
  <si>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</si>
  <si>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</si>
  <si>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</si>
  <si>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</si>
  <si>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</si>
  <si>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</si>
  <si>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</si>
  <si>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</si>
  <si>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</si>
  <si>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</si>
  <si>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</si>
  <si>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</si>
  <si>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</si>
  <si>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</si>
  <si>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</si>
  <si>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</si>
  <si>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</si>
  <si>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</si>
  <si>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</si>
  <si>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</si>
  <si>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</si>
  <si>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</si>
  <si>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</si>
  <si>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</si>
  <si>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</si>
  <si>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</si>
  <si>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</si>
  <si>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</si>
  <si>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</si>
  <si>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</si>
  <si>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</si>
  <si>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</si>
  <si>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</si>
  <si>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</si>
  <si>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</si>
  <si>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</si>
  <si>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</si>
  <si>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</si>
  <si>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</si>
  <si>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</si>
  <si>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</si>
  <si>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</si>
  <si>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</si>
  <si>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</si>
  <si>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</si>
  <si>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</si>
  <si>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</si>
  <si>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</si>
  <si>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</si>
  <si>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</si>
  <si>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</si>
  <si>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</si>
  <si>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</si>
  <si>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</si>
  <si>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</si>
  <si>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</si>
  <si>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</si>
  <si>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</si>
  <si>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</si>
  <si>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</si>
  <si>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</si>
  <si>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</si>
  <si>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</si>
  <si>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</si>
  <si>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</si>
  <si>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</si>
  <si>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</si>
  <si>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</si>
  <si>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</si>
  <si>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</si>
  <si>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</si>
  <si>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</si>
  <si>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</si>
  <si>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</si>
  <si>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</si>
  <si>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</si>
  <si>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</si>
  <si>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</si>
  <si>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</si>
  <si>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</si>
  <si>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</si>
  <si>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</si>
  <si>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</si>
  <si>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</si>
  <si>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</si>
  <si>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</si>
  <si>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</si>
  <si>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</si>
  <si>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</si>
  <si>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</si>
  <si>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</si>
  <si>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</si>
  <si>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</si>
  <si>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</si>
  <si>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</si>
  <si>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</si>
  <si>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</si>
  <si>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</si>
  <si>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</si>
  <si>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</si>
  <si>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</si>
  <si>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</si>
  <si>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</si>
  <si>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</si>
  <si>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</si>
  <si>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</si>
  <si>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</si>
  <si>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</si>
  <si>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</si>
  <si>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</si>
  <si>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</si>
  <si>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</si>
  <si>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</si>
  <si>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</si>
  <si>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</si>
  <si>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</si>
  <si>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</si>
  <si>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</si>
  <si>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</si>
  <si>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</si>
  <si>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</si>
  <si>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</si>
  <si>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</si>
  <si>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</si>
  <si>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</si>
  <si>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</si>
  <si>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</si>
  <si>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</si>
  <si>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</si>
  <si>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</si>
  <si>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</si>
  <si>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</si>
  <si>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</si>
  <si>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</si>
  <si>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</si>
  <si>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</si>
  <si>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</si>
  <si>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</si>
  <si>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</si>
  <si>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</si>
  <si>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</si>
  <si>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</si>
  <si>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</si>
  <si>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</si>
  <si>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</si>
  <si>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</si>
  <si>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</si>
  <si>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</si>
  <si>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</si>
  <si>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</si>
  <si>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</si>
  <si>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</si>
  <si>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</si>
  <si>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</si>
  <si>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</si>
  <si>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</si>
  <si>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</si>
  <si>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</si>
  <si>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</si>
  <si>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</si>
  <si>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</si>
  <si>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</si>
  <si>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</si>
  <si>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</si>
  <si>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</si>
  <si>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</si>
  <si>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</si>
  <si>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</si>
  <si>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</si>
  <si>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</si>
  <si>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</si>
  <si>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</si>
  <si>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</si>
  <si>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</si>
  <si>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</si>
  <si>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</si>
  <si>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</si>
  <si>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</si>
  <si>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</si>
  <si>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</si>
  <si>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</si>
  <si>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</si>
  <si>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</si>
  <si>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</si>
  <si>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</si>
  <si>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</si>
  <si>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</si>
  <si>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</si>
  <si>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</si>
  <si>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</si>
  <si>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</si>
  <si>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</si>
  <si>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</si>
  <si>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</si>
  <si>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</si>
  <si>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</si>
  <si>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</si>
  <si>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</si>
  <si>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</si>
  <si>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</si>
  <si>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</si>
  <si>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</si>
  <si>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</si>
  <si>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</si>
  <si>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</si>
  <si>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</si>
  <si>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</si>
  <si>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</si>
  <si>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</si>
  <si>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</si>
  <si>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</si>
  <si>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</si>
  <si>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</si>
  <si>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</si>
  <si>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</si>
  <si>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</si>
  <si>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</si>
  <si>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</si>
  <si>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</si>
  <si>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</si>
  <si>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</si>
  <si>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</si>
  <si>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</si>
  <si>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</si>
  <si>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</si>
  <si>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</si>
  <si>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</si>
  <si>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</si>
  <si>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</si>
  <si>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</si>
  <si>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</si>
  <si>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</si>
  <si>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</si>
  <si>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</si>
  <si>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</si>
  <si>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</si>
  <si>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</si>
  <si>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</si>
  <si>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</si>
  <si>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</si>
  <si>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</si>
  <si>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</si>
  <si>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</si>
  <si>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</si>
  <si>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</si>
  <si>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</si>
  <si>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</si>
  <si>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</si>
  <si>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</si>
  <si>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</si>
  <si>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</si>
  <si>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</si>
  <si>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</si>
  <si>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</si>
  <si>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</si>
  <si>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</si>
  <si>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</si>
  <si>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</si>
  <si>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</si>
  <si>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</si>
  <si>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</si>
  <si>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</si>
  <si>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</si>
  <si>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</si>
  <si>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</si>
  <si>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</si>
  <si>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</si>
  <si>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</si>
  <si>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</si>
  <si>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</si>
  <si>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</si>
  <si>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</si>
  <si>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</si>
  <si>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</si>
  <si>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</si>
  <si>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</si>
  <si>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</si>
  <si>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</si>
  <si>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</si>
  <si>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</si>
  <si>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</si>
  <si>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</si>
  <si>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</si>
  <si>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</si>
  <si>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</si>
  <si>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</si>
  <si>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</si>
  <si>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</si>
  <si>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</si>
  <si>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</si>
  <si>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</si>
  <si>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</si>
  <si>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</si>
  <si>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</si>
  <si>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</si>
  <si>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</si>
  <si>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</si>
  <si>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</si>
  <si>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</si>
  <si>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</si>
  <si>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</si>
  <si>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</si>
  <si>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</si>
  <si>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</si>
  <si>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</si>
  <si>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</si>
  <si>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</si>
  <si>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</si>
  <si>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</si>
  <si>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</si>
  <si>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</si>
  <si>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</si>
  <si>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</si>
  <si>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</si>
  <si>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</si>
  <si>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</si>
  <si>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</si>
  <si>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</si>
  <si>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</si>
  <si>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</si>
  <si>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</si>
  <si>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</si>
  <si>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</si>
  <si>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</si>
  <si>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</si>
  <si>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</si>
  <si>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</si>
  <si>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</si>
  <si>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</si>
  <si>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</si>
  <si>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</si>
  <si>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</si>
  <si>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</si>
  <si>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</si>
  <si>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</si>
  <si>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</si>
  <si>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</si>
  <si>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</si>
  <si>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</si>
  <si>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</si>
  <si>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</si>
  <si>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</si>
  <si>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</si>
  <si>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</si>
  <si>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</si>
  <si>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</si>
  <si>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</si>
  <si>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</si>
  <si>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</si>
  <si>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</si>
  <si>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</si>
  <si>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</si>
  <si>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</si>
  <si>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</si>
  <si>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</si>
  <si>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</si>
  <si>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</si>
  <si>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</si>
  <si>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</si>
  <si>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</si>
  <si>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</si>
  <si>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</si>
  <si>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</si>
  <si>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</si>
  <si>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</si>
  <si>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</si>
  <si>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</si>
  <si>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</si>
  <si>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</si>
  <si>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</si>
  <si>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</si>
  <si>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</si>
  <si>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</si>
  <si>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</si>
  <si>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</si>
  <si>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</si>
  <si>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</si>
  <si>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</si>
  <si>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</si>
  <si>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</si>
  <si>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</si>
  <si>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</si>
  <si>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</si>
  <si>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</si>
  <si>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</si>
  <si>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</si>
  <si>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</si>
  <si>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</si>
  <si>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</si>
  <si>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</si>
  <si>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</si>
  <si>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</si>
  <si>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</si>
  <si>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</si>
  <si>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</si>
  <si>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</si>
  <si>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</si>
  <si>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</si>
  <si>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</si>
  <si>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</si>
  <si>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</si>
  <si>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</si>
  <si>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</si>
  <si>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</si>
  <si>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</si>
  <si>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</si>
  <si>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</si>
  <si>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</si>
  <si>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</si>
  <si>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</si>
  <si>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</si>
  <si>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</si>
  <si>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</si>
  <si>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</si>
  <si>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</si>
  <si>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</si>
  <si>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</si>
  <si>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</si>
  <si>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</si>
  <si>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</si>
  <si>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</si>
  <si>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</si>
  <si>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</si>
  <si>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</si>
  <si>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</si>
  <si>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</si>
  <si>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</si>
  <si>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</si>
  <si>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</si>
  <si>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</si>
  <si>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</si>
  <si>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</si>
  <si>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</si>
  <si>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</si>
  <si>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</si>
  <si>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</si>
  <si>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</si>
  <si>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</si>
  <si>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</si>
  <si>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</si>
  <si>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</si>
  <si>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</si>
  <si>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</si>
  <si>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</si>
  <si>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</si>
  <si>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</si>
  <si>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</si>
  <si>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</si>
  <si>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</si>
  <si>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</si>
  <si>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</si>
  <si>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</si>
  <si>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</si>
  <si>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</si>
  <si>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</si>
  <si>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</si>
  <si>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</si>
  <si>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</si>
  <si>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</si>
  <si>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</si>
  <si>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</si>
  <si>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</si>
  <si>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</si>
  <si>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</si>
  <si>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</si>
  <si>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</si>
  <si>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</si>
  <si>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</si>
  <si>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</si>
  <si>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</si>
  <si>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</si>
  <si>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</si>
  <si>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</si>
  <si>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</si>
  <si>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</si>
  <si>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</si>
  <si>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</si>
  <si>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</si>
  <si>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</si>
  <si>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</si>
  <si>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</si>
  <si>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</si>
  <si>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</si>
  <si>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</si>
  <si>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</si>
  <si>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</si>
  <si>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</si>
  <si>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</si>
  <si>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</si>
  <si>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</si>
  <si>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</si>
  <si>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</si>
  <si>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</si>
  <si>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</si>
  <si>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</si>
  <si>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</si>
  <si>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</si>
  <si>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</si>
  <si>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</si>
  <si>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</si>
  <si>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</si>
  <si>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</si>
  <si>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</si>
  <si>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</si>
  <si>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</si>
  <si>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</si>
  <si>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</si>
  <si>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</si>
  <si>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</si>
  <si>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</si>
  <si>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</si>
  <si>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</si>
  <si>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</si>
  <si>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</si>
  <si>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</si>
  <si>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</si>
  <si>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</si>
  <si>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</si>
  <si>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</si>
  <si>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</si>
  <si>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</si>
  <si>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</si>
  <si>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</si>
  <si>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</si>
  <si>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</si>
  <si>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</si>
  <si>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</si>
  <si>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</si>
  <si>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</si>
  <si>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</si>
  <si>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</si>
  <si>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</si>
  <si>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</si>
  <si>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</si>
  <si>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</si>
  <si>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</si>
  <si>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</si>
  <si>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</si>
  <si>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</si>
  <si>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</si>
  <si>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</si>
  <si>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</si>
  <si>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</si>
  <si>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</si>
  <si>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</si>
  <si>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</si>
  <si>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</si>
  <si>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</si>
  <si>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</si>
  <si>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</si>
  <si>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</si>
  <si>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</si>
  <si>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</si>
  <si>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</si>
  <si>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</si>
  <si>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</si>
  <si>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</si>
  <si>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</si>
  <si>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</si>
  <si>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</si>
  <si>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</si>
  <si>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</si>
  <si>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</si>
  <si>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</si>
  <si>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</si>
  <si>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</si>
  <si>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</si>
  <si>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</si>
  <si>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</si>
  <si>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</si>
  <si>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</si>
  <si>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</si>
  <si>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</si>
  <si>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</si>
  <si>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</si>
  <si>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</si>
  <si>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</si>
  <si>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</si>
  <si>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</si>
  <si>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</si>
  <si>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</si>
  <si>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</si>
  <si>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</si>
  <si>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</si>
  <si>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</si>
  <si>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</si>
  <si>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</si>
  <si>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</si>
  <si>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</si>
  <si>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</si>
  <si>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</si>
  <si>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</si>
  <si>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</si>
  <si>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</si>
  <si>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</si>
  <si>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</si>
  <si>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</si>
  <si>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</si>
  <si>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</si>
  <si>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</si>
  <si>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</si>
  <si>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</si>
  <si>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</si>
  <si>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</si>
  <si>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</si>
  <si>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</si>
  <si>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</si>
  <si>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</si>
  <si>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</si>
  <si>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</si>
  <si>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</si>
  <si>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</si>
  <si>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</si>
  <si>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</si>
  <si>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</si>
  <si>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</si>
  <si>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</si>
  <si>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</si>
  <si>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</si>
  <si>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</si>
  <si>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</si>
  <si>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</si>
  <si>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</si>
  <si>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</si>
  <si>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</si>
  <si>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</si>
  <si>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</si>
  <si>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</si>
  <si>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</si>
  <si>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</si>
  <si>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</si>
  <si>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</si>
  <si>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</si>
  <si>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</si>
  <si>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</si>
  <si>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</si>
  <si>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</si>
  <si>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</si>
  <si>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</si>
  <si>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</si>
  <si>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</si>
  <si>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</si>
  <si>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</si>
  <si>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</si>
  <si>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</si>
  <si>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</si>
  <si>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</si>
  <si>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</si>
  <si>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</si>
  <si>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</si>
  <si>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</si>
  <si>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</si>
  <si>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</si>
  <si>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</si>
  <si>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</si>
  <si>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</si>
  <si>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</si>
  <si>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</si>
  <si>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</si>
  <si>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</si>
  <si>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</si>
  <si>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</si>
  <si>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</si>
  <si>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</si>
  <si>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</si>
  <si>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</si>
  <si>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</si>
  <si>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</si>
  <si>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</si>
  <si>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</si>
  <si>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</si>
  <si>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</si>
  <si>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</si>
  <si>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</si>
  <si>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</si>
  <si>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</si>
  <si>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</si>
  <si>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</si>
  <si>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</si>
  <si>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</si>
  <si>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</si>
  <si>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</si>
  <si>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</si>
  <si>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</si>
  <si>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</si>
  <si>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</si>
  <si>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</si>
  <si>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</si>
  <si>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</si>
  <si>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</si>
  <si>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</si>
  <si>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</si>
  <si>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</si>
  <si>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</si>
  <si>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</si>
  <si>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</si>
  <si>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</si>
  <si>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</si>
  <si>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</si>
  <si>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</si>
  <si>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</si>
  <si>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</si>
  <si>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</si>
  <si>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</si>
  <si>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</si>
  <si>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</si>
  <si>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</si>
  <si>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</si>
  <si>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</si>
  <si>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</si>
  <si>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</si>
  <si>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</si>
  <si>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</si>
  <si>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</si>
  <si>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</si>
  <si>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</si>
  <si>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</si>
  <si>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</si>
  <si>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</si>
  <si>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</si>
  <si>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</si>
  <si>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</si>
  <si>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</si>
  <si>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</si>
  <si>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</si>
  <si>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</si>
  <si>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</si>
  <si>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</si>
  <si>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</si>
  <si>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</si>
  <si>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</si>
  <si>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</si>
  <si>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</si>
  <si>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</si>
  <si>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</si>
  <si>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</si>
  <si>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</si>
  <si>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</si>
  <si>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</si>
  <si>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</si>
  <si>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</si>
  <si>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</si>
  <si>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</si>
  <si>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</si>
  <si>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</si>
  <si>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</si>
  <si>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</si>
  <si>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</si>
  <si>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</si>
  <si>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</si>
  <si>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</si>
  <si>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</si>
  <si>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</si>
  <si>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</si>
  <si>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</si>
  <si>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</si>
  <si>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</si>
  <si>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</si>
  <si>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</si>
  <si>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</si>
  <si>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</si>
  <si>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</si>
  <si>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</si>
  <si>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</si>
  <si>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</si>
  <si>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</si>
  <si>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</si>
  <si>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</si>
  <si>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</si>
  <si>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</si>
  <si>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</si>
  <si>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</si>
  <si>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</si>
  <si>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</si>
  <si>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</si>
  <si>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</si>
  <si>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</si>
  <si>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</si>
  <si>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</si>
  <si>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</si>
  <si>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</si>
  <si>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</si>
  <si>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</si>
  <si>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</si>
  <si>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</si>
  <si>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</si>
  <si>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</si>
  <si>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</si>
  <si>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</si>
  <si>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</si>
  <si>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</si>
  <si>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</si>
  <si>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</si>
  <si>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</si>
  <si>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</si>
  <si>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</si>
  <si>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</si>
  <si>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</si>
  <si>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</si>
  <si>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</si>
  <si>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</si>
  <si>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</si>
  <si>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</si>
  <si>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</si>
  <si>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</si>
  <si>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</si>
  <si>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</si>
  <si>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</si>
  <si>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</si>
  <si>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</si>
  <si>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</si>
  <si>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</si>
  <si>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</si>
  <si>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</si>
  <si>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</si>
  <si>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</si>
  <si>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</si>
  <si>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</si>
  <si>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</si>
  <si>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</si>
  <si>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</si>
  <si>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</si>
  <si>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</si>
  <si>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</si>
  <si>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</si>
  <si>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</si>
  <si>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</si>
  <si>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</si>
  <si>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</si>
  <si>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</si>
  <si>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</si>
  <si>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</si>
  <si>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</si>
  <si>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</si>
  <si>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</si>
  <si>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</si>
  <si>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</si>
  <si>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</si>
  <si>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</si>
  <si>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</si>
  <si>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</si>
  <si>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</si>
  <si>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</si>
  <si>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</si>
  <si>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</si>
  <si>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</si>
  <si>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</si>
  <si>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</si>
  <si>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</si>
  <si>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</si>
  <si>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</si>
  <si>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</si>
  <si>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</si>
  <si>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</si>
  <si>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</si>
  <si>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</si>
  <si>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</si>
  <si>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</si>
  <si>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</si>
  <si>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</si>
  <si>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</si>
  <si>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</si>
  <si>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</si>
  <si>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</si>
  <si>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</si>
  <si>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</si>
  <si>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</si>
  <si>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</si>
  <si>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</si>
  <si>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</si>
  <si>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</si>
  <si>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</si>
  <si>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</si>
  <si>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</si>
  <si>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</si>
  <si>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</si>
  <si>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</si>
  <si>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</si>
  <si>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</si>
  <si>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</si>
  <si>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</si>
  <si>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</si>
  <si>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</si>
  <si>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</si>
  <si>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</si>
  <si>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</si>
  <si>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</si>
  <si>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</si>
  <si>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</si>
  <si>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</si>
  <si>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</si>
  <si>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</si>
  <si>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</si>
  <si>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</si>
  <si>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</si>
  <si>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</si>
  <si>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TotalAmount</t>
  </si>
  <si>
    <t>OrderNumber</t>
  </si>
  <si>
    <t>OrderDate</t>
  </si>
  <si>
    <t>ProductID</t>
  </si>
  <si>
    <t>CustomerID</t>
  </si>
  <si>
    <t>PaymentMode</t>
  </si>
  <si>
    <t>2025-08-13</t>
  </si>
  <si>
    <t>2024-12-22</t>
  </si>
  <si>
    <t>2025-10-21</t>
  </si>
  <si>
    <t>2025-07-24</t>
  </si>
  <si>
    <t>2025-03-25</t>
  </si>
  <si>
    <t>2025-09-20</t>
  </si>
  <si>
    <t>2025-03-02</t>
  </si>
  <si>
    <t>2025-11-19</t>
  </si>
  <si>
    <t>2025-07-28</t>
  </si>
  <si>
    <t>2025-09-19</t>
  </si>
  <si>
    <t>2025-08-28</t>
  </si>
  <si>
    <t>2025-08-06</t>
  </si>
  <si>
    <t>2025-01-08</t>
  </si>
  <si>
    <t>2025-07-02</t>
  </si>
  <si>
    <t>2025-06-21</t>
  </si>
  <si>
    <t>2025-08-21</t>
  </si>
  <si>
    <t>2025-01-23</t>
  </si>
  <si>
    <t>2025-02-12</t>
  </si>
  <si>
    <t>2025-09-30</t>
  </si>
  <si>
    <t>2025-04-16</t>
  </si>
  <si>
    <t>2025-07-26</t>
  </si>
  <si>
    <t>2025-05-16</t>
  </si>
  <si>
    <t>2025-04-26</t>
  </si>
  <si>
    <t>2025-09-11</t>
  </si>
  <si>
    <t>2025-05-17</t>
  </si>
  <si>
    <t>2025-01-27</t>
  </si>
  <si>
    <t>2025-05-26</t>
  </si>
  <si>
    <t>2025-03-10</t>
  </si>
  <si>
    <t>2025-08-22</t>
  </si>
  <si>
    <t>2025-02-05</t>
  </si>
  <si>
    <t>2025-09-03</t>
  </si>
  <si>
    <t>2025-07-05</t>
  </si>
  <si>
    <t>2025-08-16</t>
  </si>
  <si>
    <t>2025-06-12</t>
  </si>
  <si>
    <t>2024-12-21</t>
  </si>
  <si>
    <t>2025-10-28</t>
  </si>
  <si>
    <t>2025-10-06</t>
  </si>
  <si>
    <t>2025-01-04</t>
  </si>
  <si>
    <t>2025-02-18</t>
  </si>
  <si>
    <t>2025-03-05</t>
  </si>
  <si>
    <t>2025-04-01</t>
  </si>
  <si>
    <t>2024-12-31</t>
  </si>
  <si>
    <t>2025-03-07</t>
  </si>
  <si>
    <t>2025-10-09</t>
  </si>
  <si>
    <t>2025-11-03</t>
  </si>
  <si>
    <t>2025-04-23</t>
  </si>
  <si>
    <t>2025-01-30</t>
  </si>
  <si>
    <t>2025-05-08</t>
  </si>
  <si>
    <t>2025-04-22</t>
  </si>
  <si>
    <t>2025-06-26</t>
  </si>
  <si>
    <t>2025-08-02</t>
  </si>
  <si>
    <t>2025-10-08</t>
  </si>
  <si>
    <t>2025-01-11</t>
  </si>
  <si>
    <t>2025-03-19</t>
  </si>
  <si>
    <t>2025-11-23</t>
  </si>
  <si>
    <t>2025-01-01</t>
  </si>
  <si>
    <t>2025-10-30</t>
  </si>
  <si>
    <t>2025-08-26</t>
  </si>
  <si>
    <t>2025-03-24</t>
  </si>
  <si>
    <t>2025-06-01</t>
  </si>
  <si>
    <t>2025-02-17</t>
  </si>
  <si>
    <t>2025-01-12</t>
  </si>
  <si>
    <t>2025-11-09</t>
  </si>
  <si>
    <t>2025-07-27</t>
  </si>
  <si>
    <t>2025-10-04</t>
  </si>
  <si>
    <t>2025-02-25</t>
  </si>
  <si>
    <t>2025-03-09</t>
  </si>
  <si>
    <t>2025-04-21</t>
  </si>
  <si>
    <t>2025-11-06</t>
  </si>
  <si>
    <t>2024-12-28</t>
  </si>
  <si>
    <t>2025-01-19</t>
  </si>
  <si>
    <t>2025-09-17</t>
  </si>
  <si>
    <t>2024-12-07</t>
  </si>
  <si>
    <t>2025-09-13</t>
  </si>
  <si>
    <t>2025-06-18</t>
  </si>
  <si>
    <t>2025-10-10</t>
  </si>
  <si>
    <t>2025-08-12</t>
  </si>
  <si>
    <t>2025-03-03</t>
  </si>
  <si>
    <t>2025-09-05</t>
  </si>
  <si>
    <t>2025-08-31</t>
  </si>
  <si>
    <t>2025-04-30</t>
  </si>
  <si>
    <t>2025-06-15</t>
  </si>
  <si>
    <t>2025-01-03</t>
  </si>
  <si>
    <t>2025-11-01</t>
  </si>
  <si>
    <t>2025-06-22</t>
  </si>
  <si>
    <t>2025-01-17</t>
  </si>
  <si>
    <t>2025-02-22</t>
  </si>
  <si>
    <t>2024-12-06</t>
  </si>
  <si>
    <t>2025-05-30</t>
  </si>
  <si>
    <t>2025-01-21</t>
  </si>
  <si>
    <t>2025-01-18</t>
  </si>
  <si>
    <t>2025-07-08</t>
  </si>
  <si>
    <t>2025-03-08</t>
  </si>
  <si>
    <t>2025-02-23</t>
  </si>
  <si>
    <t>2025-01-31</t>
  </si>
  <si>
    <t>2025-03-04</t>
  </si>
  <si>
    <t>2025-08-14</t>
  </si>
  <si>
    <t>2025-09-27</t>
  </si>
  <si>
    <t>2025-10-24</t>
  </si>
  <si>
    <t>2024-12-26</t>
  </si>
  <si>
    <t>2025-04-12</t>
  </si>
  <si>
    <t>2025-05-04</t>
  </si>
  <si>
    <t>2025-09-26</t>
  </si>
  <si>
    <t>2025-03-29</t>
  </si>
  <si>
    <t>2025-08-18</t>
  </si>
  <si>
    <t>2025-10-14</t>
  </si>
  <si>
    <t>2025-11-02</t>
  </si>
  <si>
    <t>2025-11-25</t>
  </si>
  <si>
    <t>2025-11-12</t>
  </si>
  <si>
    <t>2025-02-26</t>
  </si>
  <si>
    <t>2025-08-04</t>
  </si>
  <si>
    <t>2025-08-10</t>
  </si>
  <si>
    <t>2024-12-01</t>
  </si>
  <si>
    <t>2025-04-13</t>
  </si>
  <si>
    <t>2024-12-25</t>
  </si>
  <si>
    <t>2025-10-19</t>
  </si>
  <si>
    <t>2024-12-16</t>
  </si>
  <si>
    <t>2025-10-13</t>
  </si>
  <si>
    <t>2025-06-05</t>
  </si>
  <si>
    <t>2025-02-15</t>
  </si>
  <si>
    <t>2025-05-27</t>
  </si>
  <si>
    <t>2025-04-05</t>
  </si>
  <si>
    <t>2025-07-23</t>
  </si>
  <si>
    <t>2025-04-02</t>
  </si>
  <si>
    <t>2025-02-04</t>
  </si>
  <si>
    <t>2025-03-12</t>
  </si>
  <si>
    <t>2025-05-24</t>
  </si>
  <si>
    <t>2025-09-02</t>
  </si>
  <si>
    <t>2025-06-11</t>
  </si>
  <si>
    <t>2025-04-08</t>
  </si>
  <si>
    <t>2025-04-20</t>
  </si>
  <si>
    <t>2025-06-14</t>
  </si>
  <si>
    <t>2025-10-03</t>
  </si>
  <si>
    <t>2025-03-14</t>
  </si>
  <si>
    <t>2024-12-13</t>
  </si>
  <si>
    <t>2025-09-28</t>
  </si>
  <si>
    <t>2025-01-24</t>
  </si>
  <si>
    <t>2025-07-25</t>
  </si>
  <si>
    <t>2025-11-14</t>
  </si>
  <si>
    <t>2025-03-23</t>
  </si>
  <si>
    <t>2025-04-06</t>
  </si>
  <si>
    <t>2024-12-18</t>
  </si>
  <si>
    <t>2025-08-27</t>
  </si>
  <si>
    <t>2025-02-01</t>
  </si>
  <si>
    <t>2025-07-15</t>
  </si>
  <si>
    <t>2025-02-07</t>
  </si>
  <si>
    <t>2025-03-20</t>
  </si>
  <si>
    <t>2025-08-20</t>
  </si>
  <si>
    <t>2025-06-13</t>
  </si>
  <si>
    <t>2025-08-01</t>
  </si>
  <si>
    <t>2024-12-08</t>
  </si>
  <si>
    <t>2025-04-14</t>
  </si>
  <si>
    <t>2025-11-16</t>
  </si>
  <si>
    <t>2025-09-25</t>
  </si>
  <si>
    <t>2025-03-22</t>
  </si>
  <si>
    <t>2025-09-10</t>
  </si>
  <si>
    <t>2025-01-05</t>
  </si>
  <si>
    <t>2025-05-13</t>
  </si>
  <si>
    <t>2024-12-15</t>
  </si>
  <si>
    <t>2025-06-29</t>
  </si>
  <si>
    <t>2025-01-16</t>
  </si>
  <si>
    <t>2025-03-17</t>
  </si>
  <si>
    <t>2025-03-31</t>
  </si>
  <si>
    <t>2025-06-17</t>
  </si>
  <si>
    <t>2025-02-02</t>
  </si>
  <si>
    <t>2025-01-20</t>
  </si>
  <si>
    <t>2025-11-10</t>
  </si>
  <si>
    <t>2025-07-17</t>
  </si>
  <si>
    <t>2025-04-29</t>
  </si>
  <si>
    <t>2025-03-27</t>
  </si>
  <si>
    <t>2025-06-10</t>
  </si>
  <si>
    <t>2025-11-27</t>
  </si>
  <si>
    <t>2025-07-31</t>
  </si>
  <si>
    <t>2025-05-19</t>
  </si>
  <si>
    <t>2025-07-04</t>
  </si>
  <si>
    <t>2025-04-03</t>
  </si>
  <si>
    <t>2025-07-14</t>
  </si>
  <si>
    <t>2025-09-07</t>
  </si>
  <si>
    <t>2025-11-18</t>
  </si>
  <si>
    <t>2025-08-19</t>
  </si>
  <si>
    <t>2025-04-07</t>
  </si>
  <si>
    <t>2025-03-06</t>
  </si>
  <si>
    <t>2025-09-04</t>
  </si>
  <si>
    <t>2025-04-04</t>
  </si>
  <si>
    <t>2025-06-25</t>
  </si>
  <si>
    <t>2025-03-15</t>
  </si>
  <si>
    <t>2025-08-09</t>
  </si>
  <si>
    <t>2025-05-14</t>
  </si>
  <si>
    <t>2024-12-09</t>
  </si>
  <si>
    <t>2025-10-17</t>
  </si>
  <si>
    <t>2025-10-31</t>
  </si>
  <si>
    <t>2025-07-09</t>
  </si>
  <si>
    <t>2025-11-15</t>
  </si>
  <si>
    <t>2025-03-16</t>
  </si>
  <si>
    <t>2024-11-29</t>
  </si>
  <si>
    <t>2025-10-18</t>
  </si>
  <si>
    <t>2025-07-01</t>
  </si>
  <si>
    <t>2025-05-10</t>
  </si>
  <si>
    <t>2025-11-07</t>
  </si>
  <si>
    <t>2025-10-05</t>
  </si>
  <si>
    <t>2024-12-10</t>
  </si>
  <si>
    <t>2025-11-05</t>
  </si>
  <si>
    <t>2025-07-03</t>
  </si>
  <si>
    <t>2024-12-27</t>
  </si>
  <si>
    <t>2025-04-19</t>
  </si>
  <si>
    <t>2025-09-01</t>
  </si>
  <si>
    <t>2025-02-27</t>
  </si>
  <si>
    <t>2025-05-09</t>
  </si>
  <si>
    <t>2025-07-12</t>
  </si>
  <si>
    <t>2025-11-28</t>
  </si>
  <si>
    <t>2025-10-11</t>
  </si>
  <si>
    <t>2025-04-27</t>
  </si>
  <si>
    <t>2025-10-29</t>
  </si>
  <si>
    <t>2025-07-16</t>
  </si>
  <si>
    <t>2025-10-23</t>
  </si>
  <si>
    <t>2025-05-21</t>
  </si>
  <si>
    <t>2024-12-04</t>
  </si>
  <si>
    <t>2025-05-12</t>
  </si>
  <si>
    <t>2025-02-10</t>
  </si>
  <si>
    <t>2025-06-20</t>
  </si>
  <si>
    <t>2025-09-06</t>
  </si>
  <si>
    <t>2025-01-29</t>
  </si>
  <si>
    <t>2024-12-02</t>
  </si>
  <si>
    <t>2025-11-17</t>
  </si>
  <si>
    <t>2025-06-30</t>
  </si>
  <si>
    <t>2025-01-10</t>
  </si>
  <si>
    <t>2025-07-18</t>
  </si>
  <si>
    <t>2025-05-18</t>
  </si>
  <si>
    <t>2025-03-30</t>
  </si>
  <si>
    <t>2025-01-07</t>
  </si>
  <si>
    <t>2025-02-16</t>
  </si>
  <si>
    <t>2025-06-02</t>
  </si>
  <si>
    <t>2025-07-22</t>
  </si>
  <si>
    <t>2024-12-11</t>
  </si>
  <si>
    <t>2025-09-09</t>
  </si>
  <si>
    <t>2025-02-08</t>
  </si>
  <si>
    <t>2025-04-24</t>
  </si>
  <si>
    <t>2025-06-07</t>
  </si>
  <si>
    <t>2025-04-18</t>
  </si>
  <si>
    <t>2025-05-07</t>
  </si>
  <si>
    <t>2025-09-24</t>
  </si>
  <si>
    <t>2025-08-05</t>
  </si>
  <si>
    <t>2025-08-03</t>
  </si>
  <si>
    <t>2025-05-28</t>
  </si>
  <si>
    <t>2025-10-15</t>
  </si>
  <si>
    <t>2025-09-21</t>
  </si>
  <si>
    <t>2025-01-06</t>
  </si>
  <si>
    <t>2025-06-08</t>
  </si>
  <si>
    <t>2025-08-17</t>
  </si>
  <si>
    <t>2025-07-21</t>
  </si>
  <si>
    <t>2025-10-02</t>
  </si>
  <si>
    <t>2025-06-19</t>
  </si>
  <si>
    <t>2025-09-23</t>
  </si>
  <si>
    <t>2025-10-07</t>
  </si>
  <si>
    <t>2025-07-19</t>
  </si>
  <si>
    <t>2025-06-27</t>
  </si>
  <si>
    <t>2025-11-08</t>
  </si>
  <si>
    <t>2025-11-22</t>
  </si>
  <si>
    <t>2025-05-06</t>
  </si>
  <si>
    <t>2025-04-10</t>
  </si>
  <si>
    <t>2025-11-13</t>
  </si>
  <si>
    <t>2025-05-22</t>
  </si>
  <si>
    <t>2025-07-06</t>
  </si>
  <si>
    <t>2025-06-24</t>
  </si>
  <si>
    <t>2025-03-26</t>
  </si>
  <si>
    <t>2025-02-24</t>
  </si>
  <si>
    <t>2025-05-03</t>
  </si>
  <si>
    <t>2024-12-12</t>
  </si>
  <si>
    <t>2024-12-14</t>
  </si>
  <si>
    <t>2025-08-11</t>
  </si>
  <si>
    <t>2025-05-05</t>
  </si>
  <si>
    <t>2025-09-22</t>
  </si>
  <si>
    <t>2025-11-11</t>
  </si>
  <si>
    <t>2024-12-17</t>
  </si>
  <si>
    <t>2025-01-22</t>
  </si>
  <si>
    <t>2025-03-01</t>
  </si>
  <si>
    <t>2024-11-30</t>
  </si>
  <si>
    <t>2025-11-20</t>
  </si>
  <si>
    <t>2025-05-25</t>
  </si>
  <si>
    <t>2025-09-16</t>
  </si>
  <si>
    <t>2025-01-09</t>
  </si>
  <si>
    <t>2025-10-22</t>
  </si>
  <si>
    <t>2024-12-29</t>
  </si>
  <si>
    <t>2025-08-30</t>
  </si>
  <si>
    <t>2025-09-08</t>
  </si>
  <si>
    <t>2025-03-21</t>
  </si>
  <si>
    <t>2025-07-07</t>
  </si>
  <si>
    <t>2025-07-20</t>
  </si>
  <si>
    <t>2024-12-05</t>
  </si>
  <si>
    <t>2025-05-15</t>
  </si>
  <si>
    <t>2025-11-21</t>
  </si>
  <si>
    <t>2025-01-26</t>
  </si>
  <si>
    <t>2025-02-06</t>
  </si>
  <si>
    <t>2024-12-24</t>
  </si>
  <si>
    <t>2025-10-27</t>
  </si>
  <si>
    <t>2025-08-23</t>
  </si>
  <si>
    <t>2025-06-06</t>
  </si>
  <si>
    <t>2025-09-18</t>
  </si>
  <si>
    <t>2025-11-04</t>
  </si>
  <si>
    <t>2025-04-15</t>
  </si>
  <si>
    <t>2025-08-08</t>
  </si>
  <si>
    <t>2025-07-13</t>
  </si>
  <si>
    <t>2025-10-26</t>
  </si>
  <si>
    <t>2025-01-02</t>
  </si>
  <si>
    <t>2024-12-23</t>
  </si>
  <si>
    <t>2024-12-19</t>
  </si>
  <si>
    <t>2025-04-11</t>
  </si>
  <si>
    <t>2025-05-29</t>
  </si>
  <si>
    <t>2025-08-07</t>
  </si>
  <si>
    <t>2025-02-20</t>
  </si>
  <si>
    <t>2024-12-20</t>
  </si>
  <si>
    <t>2025-04-28</t>
  </si>
  <si>
    <t>2025-02-09</t>
  </si>
  <si>
    <t>2025-06-28</t>
  </si>
  <si>
    <t>2025-05-20</t>
  </si>
  <si>
    <t>2025-10-01</t>
  </si>
  <si>
    <t>2025-02-13</t>
  </si>
  <si>
    <t>2025-04-17</t>
  </si>
  <si>
    <t>2025-06-09</t>
  </si>
  <si>
    <t>2025-08-15</t>
  </si>
  <si>
    <t>2025-09-12</t>
  </si>
  <si>
    <t>2024-12-30</t>
  </si>
  <si>
    <t>2025-06-04</t>
  </si>
  <si>
    <t>2025-01-13</t>
  </si>
  <si>
    <t>2025-02-03</t>
  </si>
  <si>
    <t>2025-07-30</t>
  </si>
  <si>
    <t>2025-10-16</t>
  </si>
  <si>
    <t>2025-01-15</t>
  </si>
  <si>
    <t>2025-02-21</t>
  </si>
  <si>
    <t>2025-01-25</t>
  </si>
  <si>
    <t>2025-06-03</t>
  </si>
  <si>
    <t>2025-11-29</t>
  </si>
  <si>
    <t>2025-01-14</t>
  </si>
  <si>
    <t>2025-04-09</t>
  </si>
  <si>
    <t>2025-11-24</t>
  </si>
  <si>
    <t>2025-02-11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</si>
</sst>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workbookViewId="0">
      <selection activeCell="F2" sqref="F2:F201"/>
    </sheetView>
  </sheetViews>
  <sheetFormatPr defaultRowHeight="14.4" x14ac:dyDescent="0.3"/>
  <cols>
    <col min="1" max="1" width="13.109375" bestFit="1" customWidth="1"/>
    <col min="2" max="2" width="20" bestFit="1" customWidth="1"/>
    <col min="3" max="3" width="14.21875" bestFit="1" customWidth="1"/>
    <col min="4" max="4" width="12.33203125" bestFit="1" customWidth="1"/>
    <col min="5" max="5" width="7.77734375" bestFit="1" customWidth="1"/>
  </cols>
  <sheetData>
    <row r="1" spans="1:6" x14ac:dyDescent="0.3">
      <c r="A1" s="1" t="s">
        <v>314</v>
      </c>
      <c r="B1" s="1" t="s">
        <v>313</v>
      </c>
      <c r="C1" s="1" t="s">
        <v>0</v>
      </c>
      <c r="D1" s="1" t="s">
        <v>1</v>
      </c>
      <c r="E1" s="1" t="s">
        <v>312</v>
      </c>
    </row>
    <row r="2" spans="1:6" x14ac:dyDescent="0.3">
      <c r="A2" t="s">
        <v>2</v>
      </c>
      <c r="B2" t="s">
        <v>202</v>
      </c>
      <c r="C2" t="s">
        <v>288</v>
      </c>
      <c r="D2" t="s">
        <v>292</v>
      </c>
      <c r="E2">
        <v>24723</v>
      </c>
      <c r="F2" t="str">
        <f>"("""&amp;A2&amp;""","""&amp;B2&amp;""","""&amp;C2&amp;""","""&amp;D2&amp;""","""&amp;E2&amp;"""),"</f>
        <v>("ELE-MOB-001","iPhone 14","Electronics","Mobile","24723"),</v>
      </c>
    </row>
    <row r="3" spans="1:6" x14ac:dyDescent="0.3">
      <c r="A3" t="s">
        <v>3</v>
      </c>
      <c r="B3" t="s">
        <v>203</v>
      </c>
      <c r="C3" t="s">
        <v>288</v>
      </c>
      <c r="D3" t="s">
        <v>292</v>
      </c>
      <c r="E3">
        <v>14588</v>
      </c>
      <c r="F3" s="2" t="str">
        <f t="shared" ref="F3:F66" si="0">"("""&amp;A3&amp;""","""&amp;B3&amp;""","""&amp;C3&amp;""","""&amp;D3&amp;""","""&amp;E3&amp;"""),"</f>
        <v>("ELE-MOB-002","OnePlus Nord","Electronics","Mobile","14588"),</v>
      </c>
    </row>
    <row r="4" spans="1:6" x14ac:dyDescent="0.3">
      <c r="A4" t="s">
        <v>4</v>
      </c>
      <c r="B4" t="s">
        <v>203</v>
      </c>
      <c r="C4" t="s">
        <v>288</v>
      </c>
      <c r="D4" t="s">
        <v>292</v>
      </c>
      <c r="E4">
        <v>19860</v>
      </c>
      <c r="F4" s="2" t="str">
        <f t="shared" si="0"/>
        <v>("ELE-MOB-003","OnePlus Nord","Electronics","Mobile","19860"),</v>
      </c>
    </row>
    <row r="5" spans="1:6" x14ac:dyDescent="0.3">
      <c r="A5" t="s">
        <v>5</v>
      </c>
      <c r="B5" t="s">
        <v>204</v>
      </c>
      <c r="C5" t="s">
        <v>288</v>
      </c>
      <c r="D5" t="s">
        <v>292</v>
      </c>
      <c r="E5">
        <v>43182</v>
      </c>
      <c r="F5" s="2" t="str">
        <f t="shared" si="0"/>
        <v>("ELE-MOB-004","Samsung Galaxy A15","Electronics","Mobile","43182"),</v>
      </c>
    </row>
    <row r="6" spans="1:6" x14ac:dyDescent="0.3">
      <c r="A6" t="s">
        <v>6</v>
      </c>
      <c r="B6" t="s">
        <v>205</v>
      </c>
      <c r="C6" t="s">
        <v>288</v>
      </c>
      <c r="D6" t="s">
        <v>292</v>
      </c>
      <c r="E6">
        <v>16313</v>
      </c>
      <c r="F6" s="2" t="str">
        <f t="shared" si="0"/>
        <v>("ELE-MOB-005","Xiaomi Redmi Note","Electronics","Mobile","16313"),</v>
      </c>
    </row>
    <row r="7" spans="1:6" x14ac:dyDescent="0.3">
      <c r="A7" t="s">
        <v>7</v>
      </c>
      <c r="B7" t="s">
        <v>204</v>
      </c>
      <c r="C7" t="s">
        <v>288</v>
      </c>
      <c r="D7" t="s">
        <v>292</v>
      </c>
      <c r="E7">
        <v>50378</v>
      </c>
      <c r="F7" s="2" t="str">
        <f t="shared" si="0"/>
        <v>("ELE-MOB-006","Samsung Galaxy A15","Electronics","Mobile","50378"),</v>
      </c>
    </row>
    <row r="8" spans="1:6" x14ac:dyDescent="0.3">
      <c r="A8" t="s">
        <v>8</v>
      </c>
      <c r="B8" t="s">
        <v>206</v>
      </c>
      <c r="C8" t="s">
        <v>288</v>
      </c>
      <c r="D8" t="s">
        <v>292</v>
      </c>
      <c r="E8">
        <v>54427</v>
      </c>
      <c r="F8" s="2" t="str">
        <f t="shared" si="0"/>
        <v>("ELE-MOB-007","Realme C35","Electronics","Mobile","54427"),</v>
      </c>
    </row>
    <row r="9" spans="1:6" x14ac:dyDescent="0.3">
      <c r="A9" t="s">
        <v>9</v>
      </c>
      <c r="B9" t="s">
        <v>205</v>
      </c>
      <c r="C9" t="s">
        <v>288</v>
      </c>
      <c r="D9" t="s">
        <v>292</v>
      </c>
      <c r="E9">
        <v>4121</v>
      </c>
      <c r="F9" s="2" t="str">
        <f t="shared" si="0"/>
        <v>("ELE-MOB-008","Xiaomi Redmi Note","Electronics","Mobile","4121"),</v>
      </c>
    </row>
    <row r="10" spans="1:6" x14ac:dyDescent="0.3">
      <c r="A10" t="s">
        <v>10</v>
      </c>
      <c r="B10" t="s">
        <v>202</v>
      </c>
      <c r="C10" t="s">
        <v>288</v>
      </c>
      <c r="D10" t="s">
        <v>292</v>
      </c>
      <c r="E10">
        <v>52903</v>
      </c>
      <c r="F10" s="2" t="str">
        <f t="shared" si="0"/>
        <v>("ELE-MOB-009","iPhone 14","Electronics","Mobile","52903"),</v>
      </c>
    </row>
    <row r="11" spans="1:6" x14ac:dyDescent="0.3">
      <c r="A11" t="s">
        <v>11</v>
      </c>
      <c r="B11" t="s">
        <v>202</v>
      </c>
      <c r="C11" t="s">
        <v>288</v>
      </c>
      <c r="D11" t="s">
        <v>292</v>
      </c>
      <c r="E11">
        <v>1904</v>
      </c>
      <c r="F11" s="2" t="str">
        <f t="shared" si="0"/>
        <v>("ELE-MOB-010","iPhone 14","Electronics","Mobile","1904"),</v>
      </c>
    </row>
    <row r="12" spans="1:6" x14ac:dyDescent="0.3">
      <c r="A12" t="s">
        <v>12</v>
      </c>
      <c r="B12" t="s">
        <v>207</v>
      </c>
      <c r="C12" t="s">
        <v>288</v>
      </c>
      <c r="D12" t="s">
        <v>293</v>
      </c>
      <c r="E12">
        <v>43645</v>
      </c>
      <c r="F12" s="2" t="str">
        <f t="shared" si="0"/>
        <v>("ELE-LAP-011","Dell Inspiron 3511","Electronics","Laptop","43645"),</v>
      </c>
    </row>
    <row r="13" spans="1:6" x14ac:dyDescent="0.3">
      <c r="A13" t="s">
        <v>13</v>
      </c>
      <c r="B13" t="s">
        <v>208</v>
      </c>
      <c r="C13" t="s">
        <v>288</v>
      </c>
      <c r="D13" t="s">
        <v>293</v>
      </c>
      <c r="E13">
        <v>5739</v>
      </c>
      <c r="F13" s="2" t="str">
        <f t="shared" si="0"/>
        <v>("ELE-LAP-012","Asus VivoBook","Electronics","Laptop","5739"),</v>
      </c>
    </row>
    <row r="14" spans="1:6" x14ac:dyDescent="0.3">
      <c r="A14" t="s">
        <v>14</v>
      </c>
      <c r="B14" t="s">
        <v>208</v>
      </c>
      <c r="C14" t="s">
        <v>288</v>
      </c>
      <c r="D14" t="s">
        <v>293</v>
      </c>
      <c r="E14">
        <v>35320</v>
      </c>
      <c r="F14" s="2" t="str">
        <f t="shared" si="0"/>
        <v>("ELE-LAP-013","Asus VivoBook","Electronics","Laptop","35320"),</v>
      </c>
    </row>
    <row r="15" spans="1:6" x14ac:dyDescent="0.3">
      <c r="A15" t="s">
        <v>15</v>
      </c>
      <c r="B15" t="s">
        <v>209</v>
      </c>
      <c r="C15" t="s">
        <v>288</v>
      </c>
      <c r="D15" t="s">
        <v>293</v>
      </c>
      <c r="E15">
        <v>40966</v>
      </c>
      <c r="F15" s="2" t="str">
        <f t="shared" si="0"/>
        <v>("ELE-LAP-014","HP Pavilion","Electronics","Laptop","40966"),</v>
      </c>
    </row>
    <row r="16" spans="1:6" x14ac:dyDescent="0.3">
      <c r="A16" t="s">
        <v>16</v>
      </c>
      <c r="B16" t="s">
        <v>208</v>
      </c>
      <c r="C16" t="s">
        <v>288</v>
      </c>
      <c r="D16" t="s">
        <v>293</v>
      </c>
      <c r="E16">
        <v>24573</v>
      </c>
      <c r="F16" s="2" t="str">
        <f t="shared" si="0"/>
        <v>("ELE-LAP-015","Asus VivoBook","Electronics","Laptop","24573"),</v>
      </c>
    </row>
    <row r="17" spans="1:6" x14ac:dyDescent="0.3">
      <c r="A17" t="s">
        <v>17</v>
      </c>
      <c r="B17" t="s">
        <v>210</v>
      </c>
      <c r="C17" t="s">
        <v>288</v>
      </c>
      <c r="D17" t="s">
        <v>293</v>
      </c>
      <c r="E17">
        <v>7959</v>
      </c>
      <c r="F17" s="2" t="str">
        <f t="shared" si="0"/>
        <v>("ELE-LAP-016","Lenovo ThinkPad","Electronics","Laptop","7959"),</v>
      </c>
    </row>
    <row r="18" spans="1:6" x14ac:dyDescent="0.3">
      <c r="A18" t="s">
        <v>18</v>
      </c>
      <c r="B18" t="s">
        <v>207</v>
      </c>
      <c r="C18" t="s">
        <v>288</v>
      </c>
      <c r="D18" t="s">
        <v>293</v>
      </c>
      <c r="E18">
        <v>38581</v>
      </c>
      <c r="F18" s="2" t="str">
        <f t="shared" si="0"/>
        <v>("ELE-LAP-017","Dell Inspiron 3511","Electronics","Laptop","38581"),</v>
      </c>
    </row>
    <row r="19" spans="1:6" x14ac:dyDescent="0.3">
      <c r="A19" t="s">
        <v>19</v>
      </c>
      <c r="B19" t="s">
        <v>209</v>
      </c>
      <c r="C19" t="s">
        <v>288</v>
      </c>
      <c r="D19" t="s">
        <v>293</v>
      </c>
      <c r="E19">
        <v>17776</v>
      </c>
      <c r="F19" s="2" t="str">
        <f t="shared" si="0"/>
        <v>("ELE-LAP-018","HP Pavilion","Electronics","Laptop","17776"),</v>
      </c>
    </row>
    <row r="20" spans="1:6" x14ac:dyDescent="0.3">
      <c r="A20" t="s">
        <v>20</v>
      </c>
      <c r="B20" t="s">
        <v>211</v>
      </c>
      <c r="C20" t="s">
        <v>288</v>
      </c>
      <c r="D20" t="s">
        <v>293</v>
      </c>
      <c r="E20">
        <v>28060</v>
      </c>
      <c r="F20" s="2" t="str">
        <f t="shared" si="0"/>
        <v>("ELE-LAP-019","MacBook Air","Electronics","Laptop","28060"),</v>
      </c>
    </row>
    <row r="21" spans="1:6" x14ac:dyDescent="0.3">
      <c r="A21" t="s">
        <v>21</v>
      </c>
      <c r="B21" t="s">
        <v>208</v>
      </c>
      <c r="C21" t="s">
        <v>288</v>
      </c>
      <c r="D21" t="s">
        <v>293</v>
      </c>
      <c r="E21">
        <v>12005</v>
      </c>
      <c r="F21" s="2" t="str">
        <f t="shared" si="0"/>
        <v>("ELE-LAP-020","Asus VivoBook","Electronics","Laptop","12005"),</v>
      </c>
    </row>
    <row r="22" spans="1:6" x14ac:dyDescent="0.3">
      <c r="A22" t="s">
        <v>22</v>
      </c>
      <c r="B22" t="s">
        <v>212</v>
      </c>
      <c r="C22" t="s">
        <v>288</v>
      </c>
      <c r="D22" t="s">
        <v>294</v>
      </c>
      <c r="E22">
        <v>40972</v>
      </c>
      <c r="F22" s="2" t="str">
        <f t="shared" si="0"/>
        <v>("ELE-ACC-021","Power Bank 10000mAh","Electronics","Accessories","40972"),</v>
      </c>
    </row>
    <row r="23" spans="1:6" x14ac:dyDescent="0.3">
      <c r="A23" t="s">
        <v>23</v>
      </c>
      <c r="B23" t="s">
        <v>213</v>
      </c>
      <c r="C23" t="s">
        <v>288</v>
      </c>
      <c r="D23" t="s">
        <v>294</v>
      </c>
      <c r="E23">
        <v>19693</v>
      </c>
      <c r="F23" s="2" t="str">
        <f t="shared" si="0"/>
        <v>("ELE-ACC-022","Bluetooth Earbuds","Electronics","Accessories","19693"),</v>
      </c>
    </row>
    <row r="24" spans="1:6" x14ac:dyDescent="0.3">
      <c r="A24" t="s">
        <v>24</v>
      </c>
      <c r="B24" t="s">
        <v>213</v>
      </c>
      <c r="C24" t="s">
        <v>288</v>
      </c>
      <c r="D24" t="s">
        <v>294</v>
      </c>
      <c r="E24">
        <v>40609</v>
      </c>
      <c r="F24" s="2" t="str">
        <f t="shared" si="0"/>
        <v>("ELE-ACC-023","Bluetooth Earbuds","Electronics","Accessories","40609"),</v>
      </c>
    </row>
    <row r="25" spans="1:6" x14ac:dyDescent="0.3">
      <c r="A25" t="s">
        <v>25</v>
      </c>
      <c r="B25" t="s">
        <v>212</v>
      </c>
      <c r="C25" t="s">
        <v>288</v>
      </c>
      <c r="D25" t="s">
        <v>294</v>
      </c>
      <c r="E25">
        <v>6975</v>
      </c>
      <c r="F25" s="2" t="str">
        <f t="shared" si="0"/>
        <v>("ELE-ACC-024","Power Bank 10000mAh","Electronics","Accessories","6975"),</v>
      </c>
    </row>
    <row r="26" spans="1:6" x14ac:dyDescent="0.3">
      <c r="A26" t="s">
        <v>26</v>
      </c>
      <c r="B26" t="s">
        <v>214</v>
      </c>
      <c r="C26" t="s">
        <v>288</v>
      </c>
      <c r="D26" t="s">
        <v>294</v>
      </c>
      <c r="E26">
        <v>29178</v>
      </c>
      <c r="F26" s="2" t="str">
        <f t="shared" si="0"/>
        <v>("ELE-ACC-025","Smart Watch","Electronics","Accessories","29178"),</v>
      </c>
    </row>
    <row r="27" spans="1:6" x14ac:dyDescent="0.3">
      <c r="A27" t="s">
        <v>27</v>
      </c>
      <c r="B27" t="s">
        <v>215</v>
      </c>
      <c r="C27" t="s">
        <v>288</v>
      </c>
      <c r="D27" t="s">
        <v>294</v>
      </c>
      <c r="E27">
        <v>52226</v>
      </c>
      <c r="F27" s="2" t="str">
        <f t="shared" si="0"/>
        <v>("ELE-ACC-026","Wireless Mouse","Electronics","Accessories","52226"),</v>
      </c>
    </row>
    <row r="28" spans="1:6" x14ac:dyDescent="0.3">
      <c r="A28" t="s">
        <v>28</v>
      </c>
      <c r="B28" t="s">
        <v>216</v>
      </c>
      <c r="C28" t="s">
        <v>288</v>
      </c>
      <c r="D28" t="s">
        <v>294</v>
      </c>
      <c r="E28">
        <v>32437</v>
      </c>
      <c r="F28" s="2" t="str">
        <f t="shared" si="0"/>
        <v>("ELE-ACC-027","USB-C Cable","Electronics","Accessories","32437"),</v>
      </c>
    </row>
    <row r="29" spans="1:6" x14ac:dyDescent="0.3">
      <c r="A29" t="s">
        <v>29</v>
      </c>
      <c r="B29" t="s">
        <v>213</v>
      </c>
      <c r="C29" t="s">
        <v>288</v>
      </c>
      <c r="D29" t="s">
        <v>294</v>
      </c>
      <c r="E29">
        <v>17419</v>
      </c>
      <c r="F29" s="2" t="str">
        <f t="shared" si="0"/>
        <v>("ELE-ACC-028","Bluetooth Earbuds","Electronics","Accessories","17419"),</v>
      </c>
    </row>
    <row r="30" spans="1:6" x14ac:dyDescent="0.3">
      <c r="A30" t="s">
        <v>30</v>
      </c>
      <c r="B30" t="s">
        <v>216</v>
      </c>
      <c r="C30" t="s">
        <v>288</v>
      </c>
      <c r="D30" t="s">
        <v>294</v>
      </c>
      <c r="E30">
        <v>3057</v>
      </c>
      <c r="F30" s="2" t="str">
        <f t="shared" si="0"/>
        <v>("ELE-ACC-029","USB-C Cable","Electronics","Accessories","3057"),</v>
      </c>
    </row>
    <row r="31" spans="1:6" x14ac:dyDescent="0.3">
      <c r="A31" t="s">
        <v>31</v>
      </c>
      <c r="B31" t="s">
        <v>214</v>
      </c>
      <c r="C31" t="s">
        <v>288</v>
      </c>
      <c r="D31" t="s">
        <v>294</v>
      </c>
      <c r="E31">
        <v>38034</v>
      </c>
      <c r="F31" s="2" t="str">
        <f t="shared" si="0"/>
        <v>("ELE-ACC-030","Smart Watch","Electronics","Accessories","38034"),</v>
      </c>
    </row>
    <row r="32" spans="1:6" x14ac:dyDescent="0.3">
      <c r="A32" t="s">
        <v>32</v>
      </c>
      <c r="B32" t="s">
        <v>217</v>
      </c>
      <c r="C32" t="s">
        <v>288</v>
      </c>
      <c r="D32" t="s">
        <v>295</v>
      </c>
      <c r="E32">
        <v>19241</v>
      </c>
      <c r="F32" s="2" t="str">
        <f t="shared" si="0"/>
        <v>("ELE-CAM-031","Nikon D3500","Electronics","Camera","19241"),</v>
      </c>
    </row>
    <row r="33" spans="1:6" x14ac:dyDescent="0.3">
      <c r="A33" t="s">
        <v>33</v>
      </c>
      <c r="B33" t="s">
        <v>218</v>
      </c>
      <c r="C33" t="s">
        <v>288</v>
      </c>
      <c r="D33" t="s">
        <v>295</v>
      </c>
      <c r="E33">
        <v>26511</v>
      </c>
      <c r="F33" s="2" t="str">
        <f t="shared" si="0"/>
        <v>("ELE-CAM-032","Canon EOS 1500D","Electronics","Camera","26511"),</v>
      </c>
    </row>
    <row r="34" spans="1:6" x14ac:dyDescent="0.3">
      <c r="A34" t="s">
        <v>34</v>
      </c>
      <c r="B34" t="s">
        <v>219</v>
      </c>
      <c r="C34" t="s">
        <v>288</v>
      </c>
      <c r="D34" t="s">
        <v>295</v>
      </c>
      <c r="E34">
        <v>35176</v>
      </c>
      <c r="F34" s="2" t="str">
        <f t="shared" si="0"/>
        <v>("ELE-CAM-033","Sony Alpha","Electronics","Camera","35176"),</v>
      </c>
    </row>
    <row r="35" spans="1:6" x14ac:dyDescent="0.3">
      <c r="A35" t="s">
        <v>35</v>
      </c>
      <c r="B35" t="s">
        <v>217</v>
      </c>
      <c r="C35" t="s">
        <v>288</v>
      </c>
      <c r="D35" t="s">
        <v>295</v>
      </c>
      <c r="E35">
        <v>59279</v>
      </c>
      <c r="F35" s="2" t="str">
        <f t="shared" si="0"/>
        <v>("ELE-CAM-034","Nikon D3500","Electronics","Camera","59279"),</v>
      </c>
    </row>
    <row r="36" spans="1:6" x14ac:dyDescent="0.3">
      <c r="A36" t="s">
        <v>36</v>
      </c>
      <c r="B36" t="s">
        <v>217</v>
      </c>
      <c r="C36" t="s">
        <v>288</v>
      </c>
      <c r="D36" t="s">
        <v>295</v>
      </c>
      <c r="E36">
        <v>24742</v>
      </c>
      <c r="F36" s="2" t="str">
        <f t="shared" si="0"/>
        <v>("ELE-CAM-035","Nikon D3500","Electronics","Camera","24742"),</v>
      </c>
    </row>
    <row r="37" spans="1:6" x14ac:dyDescent="0.3">
      <c r="A37" t="s">
        <v>37</v>
      </c>
      <c r="B37" t="s">
        <v>220</v>
      </c>
      <c r="C37" t="s">
        <v>288</v>
      </c>
      <c r="D37" t="s">
        <v>295</v>
      </c>
      <c r="E37">
        <v>20358</v>
      </c>
      <c r="F37" s="2" t="str">
        <f t="shared" si="0"/>
        <v>("ELE-CAM-036","Fujifilm Instax","Electronics","Camera","20358"),</v>
      </c>
    </row>
    <row r="38" spans="1:6" x14ac:dyDescent="0.3">
      <c r="A38" t="s">
        <v>38</v>
      </c>
      <c r="B38" t="s">
        <v>218</v>
      </c>
      <c r="C38" t="s">
        <v>288</v>
      </c>
      <c r="D38" t="s">
        <v>295</v>
      </c>
      <c r="E38">
        <v>11162</v>
      </c>
      <c r="F38" s="2" t="str">
        <f t="shared" si="0"/>
        <v>("ELE-CAM-037","Canon EOS 1500D","Electronics","Camera","11162"),</v>
      </c>
    </row>
    <row r="39" spans="1:6" x14ac:dyDescent="0.3">
      <c r="A39" t="s">
        <v>39</v>
      </c>
      <c r="B39" t="s">
        <v>220</v>
      </c>
      <c r="C39" t="s">
        <v>288</v>
      </c>
      <c r="D39" t="s">
        <v>295</v>
      </c>
      <c r="E39">
        <v>32504</v>
      </c>
      <c r="F39" s="2" t="str">
        <f t="shared" si="0"/>
        <v>("ELE-CAM-038","Fujifilm Instax","Electronics","Camera","32504"),</v>
      </c>
    </row>
    <row r="40" spans="1:6" x14ac:dyDescent="0.3">
      <c r="A40" t="s">
        <v>40</v>
      </c>
      <c r="B40" t="s">
        <v>219</v>
      </c>
      <c r="C40" t="s">
        <v>288</v>
      </c>
      <c r="D40" t="s">
        <v>295</v>
      </c>
      <c r="E40">
        <v>10731</v>
      </c>
      <c r="F40" s="2" t="str">
        <f t="shared" si="0"/>
        <v>("ELE-CAM-039","Sony Alpha","Electronics","Camera","10731"),</v>
      </c>
    </row>
    <row r="41" spans="1:6" x14ac:dyDescent="0.3">
      <c r="A41" t="s">
        <v>41</v>
      </c>
      <c r="B41" t="s">
        <v>217</v>
      </c>
      <c r="C41" t="s">
        <v>288</v>
      </c>
      <c r="D41" t="s">
        <v>295</v>
      </c>
      <c r="E41">
        <v>1356</v>
      </c>
      <c r="F41" s="2" t="str">
        <f t="shared" si="0"/>
        <v>("ELE-CAM-040","Nikon D3500","Electronics","Camera","1356"),</v>
      </c>
    </row>
    <row r="42" spans="1:6" x14ac:dyDescent="0.3">
      <c r="A42" t="s">
        <v>42</v>
      </c>
      <c r="B42" t="s">
        <v>221</v>
      </c>
      <c r="C42" t="s">
        <v>289</v>
      </c>
      <c r="D42" t="s">
        <v>296</v>
      </c>
      <c r="E42">
        <v>29681</v>
      </c>
      <c r="F42" s="2" t="str">
        <f t="shared" si="0"/>
        <v>("FAS-MEN-041","Slim Fit Jeans","Fashion","Men Wear","29681"),</v>
      </c>
    </row>
    <row r="43" spans="1:6" x14ac:dyDescent="0.3">
      <c r="A43" t="s">
        <v>43</v>
      </c>
      <c r="B43" t="s">
        <v>222</v>
      </c>
      <c r="C43" t="s">
        <v>289</v>
      </c>
      <c r="D43" t="s">
        <v>296</v>
      </c>
      <c r="E43">
        <v>48815</v>
      </c>
      <c r="F43" s="2" t="str">
        <f t="shared" si="0"/>
        <v>("FAS-MEN-042","Cotton Casual Shirt","Fashion","Men Wear","48815"),</v>
      </c>
    </row>
    <row r="44" spans="1:6" x14ac:dyDescent="0.3">
      <c r="A44" t="s">
        <v>44</v>
      </c>
      <c r="B44" t="s">
        <v>223</v>
      </c>
      <c r="C44" t="s">
        <v>289</v>
      </c>
      <c r="D44" t="s">
        <v>296</v>
      </c>
      <c r="E44">
        <v>12665</v>
      </c>
      <c r="F44" s="2" t="str">
        <f t="shared" si="0"/>
        <v>("FAS-MEN-043","Denim Jacket","Fashion","Men Wear","12665"),</v>
      </c>
    </row>
    <row r="45" spans="1:6" x14ac:dyDescent="0.3">
      <c r="A45" t="s">
        <v>45</v>
      </c>
      <c r="B45" t="s">
        <v>224</v>
      </c>
      <c r="C45" t="s">
        <v>289</v>
      </c>
      <c r="D45" t="s">
        <v>296</v>
      </c>
      <c r="E45">
        <v>48619</v>
      </c>
      <c r="F45" s="2" t="str">
        <f t="shared" si="0"/>
        <v>("FAS-MEN-044","Formal Trousers","Fashion","Men Wear","48619"),</v>
      </c>
    </row>
    <row r="46" spans="1:6" x14ac:dyDescent="0.3">
      <c r="A46" t="s">
        <v>46</v>
      </c>
      <c r="B46" t="s">
        <v>222</v>
      </c>
      <c r="C46" t="s">
        <v>289</v>
      </c>
      <c r="D46" t="s">
        <v>296</v>
      </c>
      <c r="E46">
        <v>9753</v>
      </c>
      <c r="F46" s="2" t="str">
        <f t="shared" si="0"/>
        <v>("FAS-MEN-045","Cotton Casual Shirt","Fashion","Men Wear","9753"),</v>
      </c>
    </row>
    <row r="47" spans="1:6" x14ac:dyDescent="0.3">
      <c r="A47" t="s">
        <v>47</v>
      </c>
      <c r="B47" t="s">
        <v>223</v>
      </c>
      <c r="C47" t="s">
        <v>289</v>
      </c>
      <c r="D47" t="s">
        <v>296</v>
      </c>
      <c r="E47">
        <v>13562</v>
      </c>
      <c r="F47" s="2" t="str">
        <f t="shared" si="0"/>
        <v>("FAS-MEN-046","Denim Jacket","Fashion","Men Wear","13562"),</v>
      </c>
    </row>
    <row r="48" spans="1:6" x14ac:dyDescent="0.3">
      <c r="A48" t="s">
        <v>48</v>
      </c>
      <c r="B48" t="s">
        <v>223</v>
      </c>
      <c r="C48" t="s">
        <v>289</v>
      </c>
      <c r="D48" t="s">
        <v>296</v>
      </c>
      <c r="E48">
        <v>47535</v>
      </c>
      <c r="F48" s="2" t="str">
        <f t="shared" si="0"/>
        <v>("FAS-MEN-047","Denim Jacket","Fashion","Men Wear","47535"),</v>
      </c>
    </row>
    <row r="49" spans="1:6" x14ac:dyDescent="0.3">
      <c r="A49" t="s">
        <v>49</v>
      </c>
      <c r="B49" t="s">
        <v>223</v>
      </c>
      <c r="C49" t="s">
        <v>289</v>
      </c>
      <c r="D49" t="s">
        <v>296</v>
      </c>
      <c r="E49">
        <v>10385</v>
      </c>
      <c r="F49" s="2" t="str">
        <f t="shared" si="0"/>
        <v>("FAS-MEN-048","Denim Jacket","Fashion","Men Wear","10385"),</v>
      </c>
    </row>
    <row r="50" spans="1:6" x14ac:dyDescent="0.3">
      <c r="A50" t="s">
        <v>50</v>
      </c>
      <c r="B50" t="s">
        <v>222</v>
      </c>
      <c r="C50" t="s">
        <v>289</v>
      </c>
      <c r="D50" t="s">
        <v>296</v>
      </c>
      <c r="E50">
        <v>15394</v>
      </c>
      <c r="F50" s="2" t="str">
        <f t="shared" si="0"/>
        <v>("FAS-MEN-049","Cotton Casual Shirt","Fashion","Men Wear","15394"),</v>
      </c>
    </row>
    <row r="51" spans="1:6" x14ac:dyDescent="0.3">
      <c r="A51" t="s">
        <v>51</v>
      </c>
      <c r="B51" t="s">
        <v>223</v>
      </c>
      <c r="C51" t="s">
        <v>289</v>
      </c>
      <c r="D51" t="s">
        <v>296</v>
      </c>
      <c r="E51">
        <v>16046</v>
      </c>
      <c r="F51" s="2" t="str">
        <f t="shared" si="0"/>
        <v>("FAS-MEN-050","Denim Jacket","Fashion","Men Wear","16046"),</v>
      </c>
    </row>
    <row r="52" spans="1:6" x14ac:dyDescent="0.3">
      <c r="A52" t="s">
        <v>52</v>
      </c>
      <c r="B52" t="s">
        <v>225</v>
      </c>
      <c r="C52" t="s">
        <v>289</v>
      </c>
      <c r="D52" t="s">
        <v>297</v>
      </c>
      <c r="E52">
        <v>6346</v>
      </c>
      <c r="F52" s="2" t="str">
        <f t="shared" si="0"/>
        <v>("FAS-WOM-051","Embroidered Top","Fashion","Women Wear","6346"),</v>
      </c>
    </row>
    <row r="53" spans="1:6" x14ac:dyDescent="0.3">
      <c r="A53" t="s">
        <v>53</v>
      </c>
      <c r="B53" t="s">
        <v>226</v>
      </c>
      <c r="C53" t="s">
        <v>289</v>
      </c>
      <c r="D53" t="s">
        <v>297</v>
      </c>
      <c r="E53">
        <v>15466</v>
      </c>
      <c r="F53" s="2" t="str">
        <f t="shared" si="0"/>
        <v>("FAS-WOM-052","Silk Designer Saree","Fashion","Women Wear","15466"),</v>
      </c>
    </row>
    <row r="54" spans="1:6" x14ac:dyDescent="0.3">
      <c r="A54" t="s">
        <v>54</v>
      </c>
      <c r="B54" t="s">
        <v>226</v>
      </c>
      <c r="C54" t="s">
        <v>289</v>
      </c>
      <c r="D54" t="s">
        <v>297</v>
      </c>
      <c r="E54">
        <v>8052</v>
      </c>
      <c r="F54" s="2" t="str">
        <f t="shared" si="0"/>
        <v>("FAS-WOM-053","Silk Designer Saree","Fashion","Women Wear","8052"),</v>
      </c>
    </row>
    <row r="55" spans="1:6" x14ac:dyDescent="0.3">
      <c r="A55" t="s">
        <v>55</v>
      </c>
      <c r="B55" t="s">
        <v>227</v>
      </c>
      <c r="C55" t="s">
        <v>289</v>
      </c>
      <c r="D55" t="s">
        <v>297</v>
      </c>
      <c r="E55">
        <v>3754</v>
      </c>
      <c r="F55" s="2" t="str">
        <f t="shared" si="0"/>
        <v>("FAS-WOM-054","Floral Kurti","Fashion","Women Wear","3754"),</v>
      </c>
    </row>
    <row r="56" spans="1:6" x14ac:dyDescent="0.3">
      <c r="A56" t="s">
        <v>56</v>
      </c>
      <c r="B56" t="s">
        <v>228</v>
      </c>
      <c r="C56" t="s">
        <v>289</v>
      </c>
      <c r="D56" t="s">
        <v>297</v>
      </c>
      <c r="E56">
        <v>13735</v>
      </c>
      <c r="F56" s="2" t="str">
        <f t="shared" si="0"/>
        <v>("FAS-WOM-055","Party Gown","Fashion","Women Wear","13735"),</v>
      </c>
    </row>
    <row r="57" spans="1:6" x14ac:dyDescent="0.3">
      <c r="A57" t="s">
        <v>57</v>
      </c>
      <c r="B57" t="s">
        <v>227</v>
      </c>
      <c r="C57" t="s">
        <v>289</v>
      </c>
      <c r="D57" t="s">
        <v>297</v>
      </c>
      <c r="E57">
        <v>21702</v>
      </c>
      <c r="F57" s="2" t="str">
        <f t="shared" si="0"/>
        <v>("FAS-WOM-056","Floral Kurti","Fashion","Women Wear","21702"),</v>
      </c>
    </row>
    <row r="58" spans="1:6" x14ac:dyDescent="0.3">
      <c r="A58" t="s">
        <v>58</v>
      </c>
      <c r="B58" t="s">
        <v>225</v>
      </c>
      <c r="C58" t="s">
        <v>289</v>
      </c>
      <c r="D58" t="s">
        <v>297</v>
      </c>
      <c r="E58">
        <v>40332</v>
      </c>
      <c r="F58" s="2" t="str">
        <f t="shared" si="0"/>
        <v>("FAS-WOM-057","Embroidered Top","Fashion","Women Wear","40332"),</v>
      </c>
    </row>
    <row r="59" spans="1:6" x14ac:dyDescent="0.3">
      <c r="A59" t="s">
        <v>59</v>
      </c>
      <c r="B59" t="s">
        <v>229</v>
      </c>
      <c r="C59" t="s">
        <v>289</v>
      </c>
      <c r="D59" t="s">
        <v>297</v>
      </c>
      <c r="E59">
        <v>31144</v>
      </c>
      <c r="F59" s="2" t="str">
        <f t="shared" si="0"/>
        <v>("FAS-WOM-058","Cotton Leggings","Fashion","Women Wear","31144"),</v>
      </c>
    </row>
    <row r="60" spans="1:6" x14ac:dyDescent="0.3">
      <c r="A60" t="s">
        <v>60</v>
      </c>
      <c r="B60" t="s">
        <v>226</v>
      </c>
      <c r="C60" t="s">
        <v>289</v>
      </c>
      <c r="D60" t="s">
        <v>297</v>
      </c>
      <c r="E60">
        <v>34529</v>
      </c>
      <c r="F60" s="2" t="str">
        <f t="shared" si="0"/>
        <v>("FAS-WOM-059","Silk Designer Saree","Fashion","Women Wear","34529"),</v>
      </c>
    </row>
    <row r="61" spans="1:6" x14ac:dyDescent="0.3">
      <c r="A61" t="s">
        <v>61</v>
      </c>
      <c r="B61" t="s">
        <v>227</v>
      </c>
      <c r="C61" t="s">
        <v>289</v>
      </c>
      <c r="D61" t="s">
        <v>297</v>
      </c>
      <c r="E61">
        <v>50880</v>
      </c>
      <c r="F61" s="2" t="str">
        <f t="shared" si="0"/>
        <v>("FAS-WOM-060","Floral Kurti","Fashion","Women Wear","50880"),</v>
      </c>
    </row>
    <row r="62" spans="1:6" x14ac:dyDescent="0.3">
      <c r="A62" t="s">
        <v>62</v>
      </c>
      <c r="B62" t="s">
        <v>230</v>
      </c>
      <c r="C62" t="s">
        <v>289</v>
      </c>
      <c r="D62" t="s">
        <v>298</v>
      </c>
      <c r="E62">
        <v>15203</v>
      </c>
      <c r="F62" s="2" t="str">
        <f t="shared" si="0"/>
        <v>("FAS-KID-061","Kids Shorts","Fashion","Kids Wear","15203"),</v>
      </c>
    </row>
    <row r="63" spans="1:6" x14ac:dyDescent="0.3">
      <c r="A63" t="s">
        <v>63</v>
      </c>
      <c r="B63" t="s">
        <v>231</v>
      </c>
      <c r="C63" t="s">
        <v>289</v>
      </c>
      <c r="D63" t="s">
        <v>298</v>
      </c>
      <c r="E63">
        <v>44642</v>
      </c>
      <c r="F63" s="2" t="str">
        <f t="shared" si="0"/>
        <v>("FAS-KID-062","Party Frock","Fashion","Kids Wear","44642"),</v>
      </c>
    </row>
    <row r="64" spans="1:6" x14ac:dyDescent="0.3">
      <c r="A64" t="s">
        <v>64</v>
      </c>
      <c r="B64" t="s">
        <v>232</v>
      </c>
      <c r="C64" t="s">
        <v>289</v>
      </c>
      <c r="D64" t="s">
        <v>298</v>
      </c>
      <c r="E64">
        <v>54370</v>
      </c>
      <c r="F64" s="2" t="str">
        <f t="shared" si="0"/>
        <v>("FAS-KID-063","Cartoon T-shirt","Fashion","Kids Wear","54370"),</v>
      </c>
    </row>
    <row r="65" spans="1:6" x14ac:dyDescent="0.3">
      <c r="A65" t="s">
        <v>65</v>
      </c>
      <c r="B65" t="s">
        <v>233</v>
      </c>
      <c r="C65" t="s">
        <v>289</v>
      </c>
      <c r="D65" t="s">
        <v>298</v>
      </c>
      <c r="E65">
        <v>7110</v>
      </c>
      <c r="F65" s="2" t="str">
        <f t="shared" si="0"/>
        <v>("FAS-KID-064","Kids Denim","Fashion","Kids Wear","7110"),</v>
      </c>
    </row>
    <row r="66" spans="1:6" x14ac:dyDescent="0.3">
      <c r="A66" t="s">
        <v>66</v>
      </c>
      <c r="B66" t="s">
        <v>232</v>
      </c>
      <c r="C66" t="s">
        <v>289</v>
      </c>
      <c r="D66" t="s">
        <v>298</v>
      </c>
      <c r="E66">
        <v>13002</v>
      </c>
      <c r="F66" s="2" t="str">
        <f t="shared" si="0"/>
        <v>("FAS-KID-065","Cartoon T-shirt","Fashion","Kids Wear","13002"),</v>
      </c>
    </row>
    <row r="67" spans="1:6" x14ac:dyDescent="0.3">
      <c r="A67" t="s">
        <v>67</v>
      </c>
      <c r="B67" t="s">
        <v>232</v>
      </c>
      <c r="C67" t="s">
        <v>289</v>
      </c>
      <c r="D67" t="s">
        <v>298</v>
      </c>
      <c r="E67">
        <v>58748</v>
      </c>
      <c r="F67" s="2" t="str">
        <f t="shared" ref="F67:F130" si="1">"("""&amp;A67&amp;""","""&amp;B67&amp;""","""&amp;C67&amp;""","""&amp;D67&amp;""","""&amp;E67&amp;"""),"</f>
        <v>("FAS-KID-066","Cartoon T-shirt","Fashion","Kids Wear","58748"),</v>
      </c>
    </row>
    <row r="68" spans="1:6" x14ac:dyDescent="0.3">
      <c r="A68" t="s">
        <v>68</v>
      </c>
      <c r="B68" t="s">
        <v>234</v>
      </c>
      <c r="C68" t="s">
        <v>289</v>
      </c>
      <c r="D68" t="s">
        <v>298</v>
      </c>
      <c r="E68">
        <v>56775</v>
      </c>
      <c r="F68" s="2" t="str">
        <f t="shared" si="1"/>
        <v>("FAS-KID-067","Infant Romper","Fashion","Kids Wear","56775"),</v>
      </c>
    </row>
    <row r="69" spans="1:6" x14ac:dyDescent="0.3">
      <c r="A69" t="s">
        <v>69</v>
      </c>
      <c r="B69" t="s">
        <v>233</v>
      </c>
      <c r="C69" t="s">
        <v>289</v>
      </c>
      <c r="D69" t="s">
        <v>298</v>
      </c>
      <c r="E69">
        <v>15303</v>
      </c>
      <c r="F69" s="2" t="str">
        <f t="shared" si="1"/>
        <v>("FAS-KID-068","Kids Denim","Fashion","Kids Wear","15303"),</v>
      </c>
    </row>
    <row r="70" spans="1:6" x14ac:dyDescent="0.3">
      <c r="A70" t="s">
        <v>70</v>
      </c>
      <c r="B70" t="s">
        <v>230</v>
      </c>
      <c r="C70" t="s">
        <v>289</v>
      </c>
      <c r="D70" t="s">
        <v>298</v>
      </c>
      <c r="E70">
        <v>10418</v>
      </c>
      <c r="F70" s="2" t="str">
        <f t="shared" si="1"/>
        <v>("FAS-KID-069","Kids Shorts","Fashion","Kids Wear","10418"),</v>
      </c>
    </row>
    <row r="71" spans="1:6" x14ac:dyDescent="0.3">
      <c r="A71" t="s">
        <v>71</v>
      </c>
      <c r="B71" t="s">
        <v>234</v>
      </c>
      <c r="C71" t="s">
        <v>289</v>
      </c>
      <c r="D71" t="s">
        <v>298</v>
      </c>
      <c r="E71">
        <v>9819</v>
      </c>
      <c r="F71" s="2" t="str">
        <f t="shared" si="1"/>
        <v>("FAS-KID-070","Infant Romper","Fashion","Kids Wear","9819"),</v>
      </c>
    </row>
    <row r="72" spans="1:6" x14ac:dyDescent="0.3">
      <c r="A72" t="s">
        <v>72</v>
      </c>
      <c r="B72" t="s">
        <v>235</v>
      </c>
      <c r="C72" t="s">
        <v>289</v>
      </c>
      <c r="D72" t="s">
        <v>299</v>
      </c>
      <c r="E72">
        <v>47936</v>
      </c>
      <c r="F72" s="2" t="str">
        <f t="shared" si="1"/>
        <v>("FAS-FOO-071","Adidas Sneakers","Fashion","Footwear","47936"),</v>
      </c>
    </row>
    <row r="73" spans="1:6" x14ac:dyDescent="0.3">
      <c r="A73" t="s">
        <v>73</v>
      </c>
      <c r="B73" t="s">
        <v>236</v>
      </c>
      <c r="C73" t="s">
        <v>289</v>
      </c>
      <c r="D73" t="s">
        <v>299</v>
      </c>
      <c r="E73">
        <v>7291</v>
      </c>
      <c r="F73" s="2" t="str">
        <f t="shared" si="1"/>
        <v>("FAS-FOO-072","Casual Slippers","Fashion","Footwear","7291"),</v>
      </c>
    </row>
    <row r="74" spans="1:6" x14ac:dyDescent="0.3">
      <c r="A74" t="s">
        <v>74</v>
      </c>
      <c r="B74" t="s">
        <v>235</v>
      </c>
      <c r="C74" t="s">
        <v>289</v>
      </c>
      <c r="D74" t="s">
        <v>299</v>
      </c>
      <c r="E74">
        <v>4991</v>
      </c>
      <c r="F74" s="2" t="str">
        <f t="shared" si="1"/>
        <v>("FAS-FOO-073","Adidas Sneakers","Fashion","Footwear","4991"),</v>
      </c>
    </row>
    <row r="75" spans="1:6" x14ac:dyDescent="0.3">
      <c r="A75" t="s">
        <v>75</v>
      </c>
      <c r="B75" t="s">
        <v>237</v>
      </c>
      <c r="C75" t="s">
        <v>289</v>
      </c>
      <c r="D75" t="s">
        <v>299</v>
      </c>
      <c r="E75">
        <v>11370</v>
      </c>
      <c r="F75" s="2" t="str">
        <f t="shared" si="1"/>
        <v>("FAS-FOO-074","Nike Running Shoes","Fashion","Footwear","11370"),</v>
      </c>
    </row>
    <row r="76" spans="1:6" x14ac:dyDescent="0.3">
      <c r="A76" t="s">
        <v>76</v>
      </c>
      <c r="B76" t="s">
        <v>236</v>
      </c>
      <c r="C76" t="s">
        <v>289</v>
      </c>
      <c r="D76" t="s">
        <v>299</v>
      </c>
      <c r="E76">
        <v>48782</v>
      </c>
      <c r="F76" s="2" t="str">
        <f t="shared" si="1"/>
        <v>("FAS-FOO-075","Casual Slippers","Fashion","Footwear","48782"),</v>
      </c>
    </row>
    <row r="77" spans="1:6" x14ac:dyDescent="0.3">
      <c r="A77" t="s">
        <v>77</v>
      </c>
      <c r="B77" t="s">
        <v>235</v>
      </c>
      <c r="C77" t="s">
        <v>289</v>
      </c>
      <c r="D77" t="s">
        <v>299</v>
      </c>
      <c r="E77">
        <v>30455</v>
      </c>
      <c r="F77" s="2" t="str">
        <f t="shared" si="1"/>
        <v>("FAS-FOO-076","Adidas Sneakers","Fashion","Footwear","30455"),</v>
      </c>
    </row>
    <row r="78" spans="1:6" x14ac:dyDescent="0.3">
      <c r="A78" t="s">
        <v>78</v>
      </c>
      <c r="B78" t="s">
        <v>236</v>
      </c>
      <c r="C78" t="s">
        <v>289</v>
      </c>
      <c r="D78" t="s">
        <v>299</v>
      </c>
      <c r="E78">
        <v>52445</v>
      </c>
      <c r="F78" s="2" t="str">
        <f t="shared" si="1"/>
        <v>("FAS-FOO-077","Casual Slippers","Fashion","Footwear","52445"),</v>
      </c>
    </row>
    <row r="79" spans="1:6" x14ac:dyDescent="0.3">
      <c r="A79" t="s">
        <v>79</v>
      </c>
      <c r="B79" t="s">
        <v>238</v>
      </c>
      <c r="C79" t="s">
        <v>289</v>
      </c>
      <c r="D79" t="s">
        <v>299</v>
      </c>
      <c r="E79">
        <v>32133</v>
      </c>
      <c r="F79" s="2" t="str">
        <f t="shared" si="1"/>
        <v>("FAS-FOO-078","Leather Formal Shoes","Fashion","Footwear","32133"),</v>
      </c>
    </row>
    <row r="80" spans="1:6" x14ac:dyDescent="0.3">
      <c r="A80" t="s">
        <v>80</v>
      </c>
      <c r="B80" t="s">
        <v>236</v>
      </c>
      <c r="C80" t="s">
        <v>289</v>
      </c>
      <c r="D80" t="s">
        <v>299</v>
      </c>
      <c r="E80">
        <v>25145</v>
      </c>
      <c r="F80" s="2" t="str">
        <f t="shared" si="1"/>
        <v>("FAS-FOO-079","Casual Slippers","Fashion","Footwear","25145"),</v>
      </c>
    </row>
    <row r="81" spans="1:6" x14ac:dyDescent="0.3">
      <c r="A81" t="s">
        <v>81</v>
      </c>
      <c r="B81" t="s">
        <v>237</v>
      </c>
      <c r="C81" t="s">
        <v>289</v>
      </c>
      <c r="D81" t="s">
        <v>299</v>
      </c>
      <c r="E81">
        <v>3069</v>
      </c>
      <c r="F81" s="2" t="str">
        <f t="shared" si="1"/>
        <v>("FAS-FOO-080","Nike Running Shoes","Fashion","Footwear","3069"),</v>
      </c>
    </row>
    <row r="82" spans="1:6" x14ac:dyDescent="0.3">
      <c r="A82" t="s">
        <v>82</v>
      </c>
      <c r="B82" t="s">
        <v>239</v>
      </c>
      <c r="C82" t="s">
        <v>311</v>
      </c>
      <c r="D82" t="s">
        <v>300</v>
      </c>
      <c r="E82">
        <v>20203</v>
      </c>
      <c r="F82" s="2" t="str">
        <f t="shared" si="1"/>
        <v>("HOM-KIT-081","Mixer Grinder","Home","Kitchen","20203"),</v>
      </c>
    </row>
    <row r="83" spans="1:6" x14ac:dyDescent="0.3">
      <c r="A83" t="s">
        <v>83</v>
      </c>
      <c r="B83" t="s">
        <v>240</v>
      </c>
      <c r="C83" t="s">
        <v>311</v>
      </c>
      <c r="D83" t="s">
        <v>300</v>
      </c>
      <c r="E83">
        <v>26718</v>
      </c>
      <c r="F83" s="2" t="str">
        <f t="shared" si="1"/>
        <v>("HOM-KIT-082","Prestige Cooker 5L","Home","Kitchen","26718"),</v>
      </c>
    </row>
    <row r="84" spans="1:6" x14ac:dyDescent="0.3">
      <c r="A84" t="s">
        <v>84</v>
      </c>
      <c r="B84" t="s">
        <v>241</v>
      </c>
      <c r="C84" t="s">
        <v>311</v>
      </c>
      <c r="D84" t="s">
        <v>300</v>
      </c>
      <c r="E84">
        <v>386</v>
      </c>
      <c r="F84" s="2" t="str">
        <f t="shared" si="1"/>
        <v>("HOM-KIT-083","Electric Kettle","Home","Kitchen","386"),</v>
      </c>
    </row>
    <row r="85" spans="1:6" x14ac:dyDescent="0.3">
      <c r="A85" t="s">
        <v>85</v>
      </c>
      <c r="B85" t="s">
        <v>240</v>
      </c>
      <c r="C85" t="s">
        <v>311</v>
      </c>
      <c r="D85" t="s">
        <v>300</v>
      </c>
      <c r="E85">
        <v>40084</v>
      </c>
      <c r="F85" s="2" t="str">
        <f t="shared" si="1"/>
        <v>("HOM-KIT-084","Prestige Cooker 5L","Home","Kitchen","40084"),</v>
      </c>
    </row>
    <row r="86" spans="1:6" x14ac:dyDescent="0.3">
      <c r="A86" t="s">
        <v>86</v>
      </c>
      <c r="B86" t="s">
        <v>241</v>
      </c>
      <c r="C86" t="s">
        <v>311</v>
      </c>
      <c r="D86" t="s">
        <v>300</v>
      </c>
      <c r="E86">
        <v>25186</v>
      </c>
      <c r="F86" s="2" t="str">
        <f t="shared" si="1"/>
        <v>("HOM-KIT-085","Electric Kettle","Home","Kitchen","25186"),</v>
      </c>
    </row>
    <row r="87" spans="1:6" x14ac:dyDescent="0.3">
      <c r="A87" t="s">
        <v>87</v>
      </c>
      <c r="B87" t="s">
        <v>240</v>
      </c>
      <c r="C87" t="s">
        <v>311</v>
      </c>
      <c r="D87" t="s">
        <v>300</v>
      </c>
      <c r="E87">
        <v>50029</v>
      </c>
      <c r="F87" s="2" t="str">
        <f t="shared" si="1"/>
        <v>("HOM-KIT-086","Prestige Cooker 5L","Home","Kitchen","50029"),</v>
      </c>
    </row>
    <row r="88" spans="1:6" x14ac:dyDescent="0.3">
      <c r="A88" t="s">
        <v>88</v>
      </c>
      <c r="B88" t="s">
        <v>241</v>
      </c>
      <c r="C88" t="s">
        <v>311</v>
      </c>
      <c r="D88" t="s">
        <v>300</v>
      </c>
      <c r="E88">
        <v>42342</v>
      </c>
      <c r="F88" s="2" t="str">
        <f t="shared" si="1"/>
        <v>("HOM-KIT-087","Electric Kettle","Home","Kitchen","42342"),</v>
      </c>
    </row>
    <row r="89" spans="1:6" x14ac:dyDescent="0.3">
      <c r="A89" t="s">
        <v>89</v>
      </c>
      <c r="B89" t="s">
        <v>240</v>
      </c>
      <c r="C89" t="s">
        <v>311</v>
      </c>
      <c r="D89" t="s">
        <v>300</v>
      </c>
      <c r="E89">
        <v>27725</v>
      </c>
      <c r="F89" s="2" t="str">
        <f t="shared" si="1"/>
        <v>("HOM-KIT-088","Prestige Cooker 5L","Home","Kitchen","27725"),</v>
      </c>
    </row>
    <row r="90" spans="1:6" x14ac:dyDescent="0.3">
      <c r="A90" t="s">
        <v>90</v>
      </c>
      <c r="B90" t="s">
        <v>239</v>
      </c>
      <c r="C90" t="s">
        <v>311</v>
      </c>
      <c r="D90" t="s">
        <v>300</v>
      </c>
      <c r="E90">
        <v>55071</v>
      </c>
      <c r="F90" s="2" t="str">
        <f t="shared" si="1"/>
        <v>("HOM-KIT-089","Mixer Grinder","Home","Kitchen","55071"),</v>
      </c>
    </row>
    <row r="91" spans="1:6" x14ac:dyDescent="0.3">
      <c r="A91" t="s">
        <v>91</v>
      </c>
      <c r="B91" t="s">
        <v>241</v>
      </c>
      <c r="C91" t="s">
        <v>311</v>
      </c>
      <c r="D91" t="s">
        <v>300</v>
      </c>
      <c r="E91">
        <v>30328</v>
      </c>
      <c r="F91" s="2" t="str">
        <f t="shared" si="1"/>
        <v>("HOM-KIT-090","Electric Kettle","Home","Kitchen","30328"),</v>
      </c>
    </row>
    <row r="92" spans="1:6" x14ac:dyDescent="0.3">
      <c r="A92" t="s">
        <v>92</v>
      </c>
      <c r="B92" t="s">
        <v>242</v>
      </c>
      <c r="C92" t="s">
        <v>311</v>
      </c>
      <c r="D92" t="s">
        <v>301</v>
      </c>
      <c r="E92">
        <v>25398</v>
      </c>
      <c r="F92" s="2" t="str">
        <f t="shared" si="1"/>
        <v>("HOM-DEC-091","Table Vase","Home","Decor","25398"),</v>
      </c>
    </row>
    <row r="93" spans="1:6" x14ac:dyDescent="0.3">
      <c r="A93" t="s">
        <v>93</v>
      </c>
      <c r="B93" t="s">
        <v>243</v>
      </c>
      <c r="C93" t="s">
        <v>311</v>
      </c>
      <c r="D93" t="s">
        <v>301</v>
      </c>
      <c r="E93">
        <v>1907</v>
      </c>
      <c r="F93" s="2" t="str">
        <f t="shared" si="1"/>
        <v>("HOM-DEC-092","Curtain Set","Home","Decor","1907"),</v>
      </c>
    </row>
    <row r="94" spans="1:6" x14ac:dyDescent="0.3">
      <c r="A94" t="s">
        <v>94</v>
      </c>
      <c r="B94" t="s">
        <v>244</v>
      </c>
      <c r="C94" t="s">
        <v>311</v>
      </c>
      <c r="D94" t="s">
        <v>301</v>
      </c>
      <c r="E94">
        <v>29268</v>
      </c>
      <c r="F94" s="2" t="str">
        <f t="shared" si="1"/>
        <v>("HOM-DEC-093","LED Lamp","Home","Decor","29268"),</v>
      </c>
    </row>
    <row r="95" spans="1:6" x14ac:dyDescent="0.3">
      <c r="A95" t="s">
        <v>95</v>
      </c>
      <c r="B95" t="s">
        <v>245</v>
      </c>
      <c r="C95" t="s">
        <v>311</v>
      </c>
      <c r="D95" t="s">
        <v>301</v>
      </c>
      <c r="E95">
        <v>58084</v>
      </c>
      <c r="F95" s="2" t="str">
        <f t="shared" si="1"/>
        <v>("HOM-DEC-094","Wall Photo Frame","Home","Decor","58084"),</v>
      </c>
    </row>
    <row r="96" spans="1:6" x14ac:dyDescent="0.3">
      <c r="A96" t="s">
        <v>96</v>
      </c>
      <c r="B96" t="s">
        <v>246</v>
      </c>
      <c r="C96" t="s">
        <v>311</v>
      </c>
      <c r="D96" t="s">
        <v>301</v>
      </c>
      <c r="E96">
        <v>16148</v>
      </c>
      <c r="F96" s="2" t="str">
        <f t="shared" si="1"/>
        <v>("HOM-DEC-095","Wall Clock","Home","Decor","16148"),</v>
      </c>
    </row>
    <row r="97" spans="1:6" x14ac:dyDescent="0.3">
      <c r="A97" t="s">
        <v>97</v>
      </c>
      <c r="B97" t="s">
        <v>244</v>
      </c>
      <c r="C97" t="s">
        <v>311</v>
      </c>
      <c r="D97" t="s">
        <v>301</v>
      </c>
      <c r="E97">
        <v>10887</v>
      </c>
      <c r="F97" s="2" t="str">
        <f t="shared" si="1"/>
        <v>("HOM-DEC-096","LED Lamp","Home","Decor","10887"),</v>
      </c>
    </row>
    <row r="98" spans="1:6" x14ac:dyDescent="0.3">
      <c r="A98" t="s">
        <v>98</v>
      </c>
      <c r="B98" t="s">
        <v>246</v>
      </c>
      <c r="C98" t="s">
        <v>311</v>
      </c>
      <c r="D98" t="s">
        <v>301</v>
      </c>
      <c r="E98">
        <v>16361</v>
      </c>
      <c r="F98" s="2" t="str">
        <f t="shared" si="1"/>
        <v>("HOM-DEC-097","Wall Clock","Home","Decor","16361"),</v>
      </c>
    </row>
    <row r="99" spans="1:6" x14ac:dyDescent="0.3">
      <c r="A99" t="s">
        <v>99</v>
      </c>
      <c r="B99" t="s">
        <v>243</v>
      </c>
      <c r="C99" t="s">
        <v>311</v>
      </c>
      <c r="D99" t="s">
        <v>301</v>
      </c>
      <c r="E99">
        <v>33206</v>
      </c>
      <c r="F99" s="2" t="str">
        <f t="shared" si="1"/>
        <v>("HOM-DEC-098","Curtain Set","Home","Decor","33206"),</v>
      </c>
    </row>
    <row r="100" spans="1:6" x14ac:dyDescent="0.3">
      <c r="A100" t="s">
        <v>100</v>
      </c>
      <c r="B100" t="s">
        <v>242</v>
      </c>
      <c r="C100" t="s">
        <v>311</v>
      </c>
      <c r="D100" t="s">
        <v>301</v>
      </c>
      <c r="E100">
        <v>48729</v>
      </c>
      <c r="F100" s="2" t="str">
        <f t="shared" si="1"/>
        <v>("HOM-DEC-099","Table Vase","Home","Decor","48729"),</v>
      </c>
    </row>
    <row r="101" spans="1:6" x14ac:dyDescent="0.3">
      <c r="A101" t="s">
        <v>101</v>
      </c>
      <c r="B101" t="s">
        <v>244</v>
      </c>
      <c r="C101" t="s">
        <v>311</v>
      </c>
      <c r="D101" t="s">
        <v>301</v>
      </c>
      <c r="E101">
        <v>3927</v>
      </c>
      <c r="F101" s="2" t="str">
        <f t="shared" si="1"/>
        <v>("HOM-DEC-100","LED Lamp","Home","Decor","3927"),</v>
      </c>
    </row>
    <row r="102" spans="1:6" x14ac:dyDescent="0.3">
      <c r="A102" t="s">
        <v>102</v>
      </c>
      <c r="B102" t="s">
        <v>247</v>
      </c>
      <c r="C102" t="s">
        <v>311</v>
      </c>
      <c r="D102" t="s">
        <v>302</v>
      </c>
      <c r="E102">
        <v>52733</v>
      </c>
      <c r="F102" s="2" t="str">
        <f t="shared" si="1"/>
        <v>("HOM-APP-101","Induction Cooktop","Home","Appliances","52733"),</v>
      </c>
    </row>
    <row r="103" spans="1:6" x14ac:dyDescent="0.3">
      <c r="A103" t="s">
        <v>103</v>
      </c>
      <c r="B103" t="s">
        <v>248</v>
      </c>
      <c r="C103" t="s">
        <v>311</v>
      </c>
      <c r="D103" t="s">
        <v>302</v>
      </c>
      <c r="E103">
        <v>1849</v>
      </c>
      <c r="F103" s="2" t="str">
        <f t="shared" si="1"/>
        <v>("HOM-APP-102","Air Fryer","Home","Appliances","1849"),</v>
      </c>
    </row>
    <row r="104" spans="1:6" x14ac:dyDescent="0.3">
      <c r="A104" t="s">
        <v>104</v>
      </c>
      <c r="B104" t="s">
        <v>249</v>
      </c>
      <c r="C104" t="s">
        <v>311</v>
      </c>
      <c r="D104" t="s">
        <v>302</v>
      </c>
      <c r="E104">
        <v>36331</v>
      </c>
      <c r="F104" s="2" t="str">
        <f t="shared" si="1"/>
        <v>("HOM-APP-103","Microwave Oven","Home","Appliances","36331"),</v>
      </c>
    </row>
    <row r="105" spans="1:6" x14ac:dyDescent="0.3">
      <c r="A105" t="s">
        <v>105</v>
      </c>
      <c r="B105" t="s">
        <v>250</v>
      </c>
      <c r="C105" t="s">
        <v>311</v>
      </c>
      <c r="D105" t="s">
        <v>302</v>
      </c>
      <c r="E105">
        <v>41102</v>
      </c>
      <c r="F105" s="2" t="str">
        <f t="shared" si="1"/>
        <v>("HOM-APP-104","Air Purifier","Home","Appliances","41102"),</v>
      </c>
    </row>
    <row r="106" spans="1:6" x14ac:dyDescent="0.3">
      <c r="A106" t="s">
        <v>106</v>
      </c>
      <c r="B106" t="s">
        <v>247</v>
      </c>
      <c r="C106" t="s">
        <v>311</v>
      </c>
      <c r="D106" t="s">
        <v>302</v>
      </c>
      <c r="E106">
        <v>2222</v>
      </c>
      <c r="F106" s="2" t="str">
        <f t="shared" si="1"/>
        <v>("HOM-APP-105","Induction Cooktop","Home","Appliances","2222"),</v>
      </c>
    </row>
    <row r="107" spans="1:6" x14ac:dyDescent="0.3">
      <c r="A107" t="s">
        <v>107</v>
      </c>
      <c r="B107" t="s">
        <v>249</v>
      </c>
      <c r="C107" t="s">
        <v>311</v>
      </c>
      <c r="D107" t="s">
        <v>302</v>
      </c>
      <c r="E107">
        <v>10740</v>
      </c>
      <c r="F107" s="2" t="str">
        <f t="shared" si="1"/>
        <v>("HOM-APP-106","Microwave Oven","Home","Appliances","10740"),</v>
      </c>
    </row>
    <row r="108" spans="1:6" x14ac:dyDescent="0.3">
      <c r="A108" t="s">
        <v>108</v>
      </c>
      <c r="B108" t="s">
        <v>248</v>
      </c>
      <c r="C108" t="s">
        <v>311</v>
      </c>
      <c r="D108" t="s">
        <v>302</v>
      </c>
      <c r="E108">
        <v>43274</v>
      </c>
      <c r="F108" s="2" t="str">
        <f t="shared" si="1"/>
        <v>("HOM-APP-107","Air Fryer","Home","Appliances","43274"),</v>
      </c>
    </row>
    <row r="109" spans="1:6" x14ac:dyDescent="0.3">
      <c r="A109" t="s">
        <v>109</v>
      </c>
      <c r="B109" t="s">
        <v>249</v>
      </c>
      <c r="C109" t="s">
        <v>311</v>
      </c>
      <c r="D109" t="s">
        <v>302</v>
      </c>
      <c r="E109">
        <v>18962</v>
      </c>
      <c r="F109" s="2" t="str">
        <f t="shared" si="1"/>
        <v>("HOM-APP-108","Microwave Oven","Home","Appliances","18962"),</v>
      </c>
    </row>
    <row r="110" spans="1:6" x14ac:dyDescent="0.3">
      <c r="A110" t="s">
        <v>110</v>
      </c>
      <c r="B110" t="s">
        <v>248</v>
      </c>
      <c r="C110" t="s">
        <v>311</v>
      </c>
      <c r="D110" t="s">
        <v>302</v>
      </c>
      <c r="E110">
        <v>31114</v>
      </c>
      <c r="F110" s="2" t="str">
        <f t="shared" si="1"/>
        <v>("HOM-APP-109","Air Fryer","Home","Appliances","31114"),</v>
      </c>
    </row>
    <row r="111" spans="1:6" x14ac:dyDescent="0.3">
      <c r="A111" t="s">
        <v>111</v>
      </c>
      <c r="B111" t="s">
        <v>247</v>
      </c>
      <c r="C111" t="s">
        <v>311</v>
      </c>
      <c r="D111" t="s">
        <v>302</v>
      </c>
      <c r="E111">
        <v>18185</v>
      </c>
      <c r="F111" s="2" t="str">
        <f t="shared" si="1"/>
        <v>("HOM-APP-110","Induction Cooktop","Home","Appliances","18185"),</v>
      </c>
    </row>
    <row r="112" spans="1:6" x14ac:dyDescent="0.3">
      <c r="A112" t="s">
        <v>112</v>
      </c>
      <c r="B112" t="s">
        <v>251</v>
      </c>
      <c r="C112" t="s">
        <v>311</v>
      </c>
      <c r="D112" t="s">
        <v>303</v>
      </c>
      <c r="E112">
        <v>55900</v>
      </c>
      <c r="F112" s="2" t="str">
        <f t="shared" si="1"/>
        <v>("HOM-FUR-111","Bookshelf","Home","Furniture","55900"),</v>
      </c>
    </row>
    <row r="113" spans="1:6" x14ac:dyDescent="0.3">
      <c r="A113" t="s">
        <v>113</v>
      </c>
      <c r="B113" t="s">
        <v>252</v>
      </c>
      <c r="C113" t="s">
        <v>311</v>
      </c>
      <c r="D113" t="s">
        <v>303</v>
      </c>
      <c r="E113">
        <v>38801</v>
      </c>
      <c r="F113" s="2" t="str">
        <f t="shared" si="1"/>
        <v>("HOM-FUR-112","Office Chair","Home","Furniture","38801"),</v>
      </c>
    </row>
    <row r="114" spans="1:6" x14ac:dyDescent="0.3">
      <c r="A114" t="s">
        <v>114</v>
      </c>
      <c r="B114" t="s">
        <v>252</v>
      </c>
      <c r="C114" t="s">
        <v>311</v>
      </c>
      <c r="D114" t="s">
        <v>303</v>
      </c>
      <c r="E114">
        <v>36363</v>
      </c>
      <c r="F114" s="2" t="str">
        <f t="shared" si="1"/>
        <v>("HOM-FUR-113","Office Chair","Home","Furniture","36363"),</v>
      </c>
    </row>
    <row r="115" spans="1:6" x14ac:dyDescent="0.3">
      <c r="A115" t="s">
        <v>115</v>
      </c>
      <c r="B115" t="s">
        <v>253</v>
      </c>
      <c r="C115" t="s">
        <v>311</v>
      </c>
      <c r="D115" t="s">
        <v>303</v>
      </c>
      <c r="E115">
        <v>33352</v>
      </c>
      <c r="F115" s="2" t="str">
        <f t="shared" si="1"/>
        <v>("HOM-FUR-114","Sofa Set","Home","Furniture","33352"),</v>
      </c>
    </row>
    <row r="116" spans="1:6" x14ac:dyDescent="0.3">
      <c r="A116" t="s">
        <v>116</v>
      </c>
      <c r="B116" t="s">
        <v>254</v>
      </c>
      <c r="C116" t="s">
        <v>311</v>
      </c>
      <c r="D116" t="s">
        <v>303</v>
      </c>
      <c r="E116">
        <v>51812</v>
      </c>
      <c r="F116" s="2" t="str">
        <f t="shared" si="1"/>
        <v>("HOM-FUR-115","TV Stand","Home","Furniture","51812"),</v>
      </c>
    </row>
    <row r="117" spans="1:6" x14ac:dyDescent="0.3">
      <c r="A117" t="s">
        <v>117</v>
      </c>
      <c r="B117" t="s">
        <v>252</v>
      </c>
      <c r="C117" t="s">
        <v>311</v>
      </c>
      <c r="D117" t="s">
        <v>303</v>
      </c>
      <c r="E117">
        <v>56787</v>
      </c>
      <c r="F117" s="2" t="str">
        <f t="shared" si="1"/>
        <v>("HOM-FUR-116","Office Chair","Home","Furniture","56787"),</v>
      </c>
    </row>
    <row r="118" spans="1:6" x14ac:dyDescent="0.3">
      <c r="A118" t="s">
        <v>118</v>
      </c>
      <c r="B118" t="s">
        <v>254</v>
      </c>
      <c r="C118" t="s">
        <v>311</v>
      </c>
      <c r="D118" t="s">
        <v>303</v>
      </c>
      <c r="E118">
        <v>2899</v>
      </c>
      <c r="F118" s="2" t="str">
        <f t="shared" si="1"/>
        <v>("HOM-FUR-117","TV Stand","Home","Furniture","2899"),</v>
      </c>
    </row>
    <row r="119" spans="1:6" x14ac:dyDescent="0.3">
      <c r="A119" t="s">
        <v>119</v>
      </c>
      <c r="B119" t="s">
        <v>252</v>
      </c>
      <c r="C119" t="s">
        <v>311</v>
      </c>
      <c r="D119" t="s">
        <v>303</v>
      </c>
      <c r="E119">
        <v>9792</v>
      </c>
      <c r="F119" s="2" t="str">
        <f t="shared" si="1"/>
        <v>("HOM-FUR-118","Office Chair","Home","Furniture","9792"),</v>
      </c>
    </row>
    <row r="120" spans="1:6" x14ac:dyDescent="0.3">
      <c r="A120" t="s">
        <v>120</v>
      </c>
      <c r="B120" t="s">
        <v>253</v>
      </c>
      <c r="C120" t="s">
        <v>311</v>
      </c>
      <c r="D120" t="s">
        <v>303</v>
      </c>
      <c r="E120">
        <v>19370</v>
      </c>
      <c r="F120" s="2" t="str">
        <f t="shared" si="1"/>
        <v>("HOM-FUR-119","Sofa Set","Home","Furniture","19370"),</v>
      </c>
    </row>
    <row r="121" spans="1:6" x14ac:dyDescent="0.3">
      <c r="A121" t="s">
        <v>121</v>
      </c>
      <c r="B121" t="s">
        <v>251</v>
      </c>
      <c r="C121" t="s">
        <v>311</v>
      </c>
      <c r="D121" t="s">
        <v>303</v>
      </c>
      <c r="E121">
        <v>52552</v>
      </c>
      <c r="F121" s="2" t="str">
        <f t="shared" si="1"/>
        <v>("HOM-FUR-120","Bookshelf","Home","Furniture","52552"),</v>
      </c>
    </row>
    <row r="122" spans="1:6" x14ac:dyDescent="0.3">
      <c r="A122" t="s">
        <v>122</v>
      </c>
      <c r="B122" t="s">
        <v>255</v>
      </c>
      <c r="C122" t="s">
        <v>290</v>
      </c>
      <c r="D122" t="s">
        <v>304</v>
      </c>
      <c r="E122">
        <v>25474</v>
      </c>
      <c r="F122" s="2" t="str">
        <f t="shared" si="1"/>
        <v>("SPO-FIT-121","Yoga Mat Premium","Sports","Fitness","25474"),</v>
      </c>
    </row>
    <row r="123" spans="1:6" x14ac:dyDescent="0.3">
      <c r="A123" t="s">
        <v>123</v>
      </c>
      <c r="B123" t="s">
        <v>256</v>
      </c>
      <c r="C123" t="s">
        <v>290</v>
      </c>
      <c r="D123" t="s">
        <v>304</v>
      </c>
      <c r="E123">
        <v>36937</v>
      </c>
      <c r="F123" s="2" t="str">
        <f t="shared" si="1"/>
        <v>("SPO-FIT-122","Treadmill","Sports","Fitness","36937"),</v>
      </c>
    </row>
    <row r="124" spans="1:6" x14ac:dyDescent="0.3">
      <c r="A124" t="s">
        <v>124</v>
      </c>
      <c r="B124" t="s">
        <v>257</v>
      </c>
      <c r="C124" t="s">
        <v>290</v>
      </c>
      <c r="D124" t="s">
        <v>304</v>
      </c>
      <c r="E124">
        <v>51396</v>
      </c>
      <c r="F124" s="2" t="str">
        <f t="shared" si="1"/>
        <v>("SPO-FIT-123","Resistance Band","Sports","Fitness","51396"),</v>
      </c>
    </row>
    <row r="125" spans="1:6" x14ac:dyDescent="0.3">
      <c r="A125" t="s">
        <v>125</v>
      </c>
      <c r="B125" t="s">
        <v>257</v>
      </c>
      <c r="C125" t="s">
        <v>290</v>
      </c>
      <c r="D125" t="s">
        <v>304</v>
      </c>
      <c r="E125">
        <v>11833</v>
      </c>
      <c r="F125" s="2" t="str">
        <f t="shared" si="1"/>
        <v>("SPO-FIT-124","Resistance Band","Sports","Fitness","11833"),</v>
      </c>
    </row>
    <row r="126" spans="1:6" x14ac:dyDescent="0.3">
      <c r="A126" t="s">
        <v>126</v>
      </c>
      <c r="B126" t="s">
        <v>258</v>
      </c>
      <c r="C126" t="s">
        <v>290</v>
      </c>
      <c r="D126" t="s">
        <v>304</v>
      </c>
      <c r="E126">
        <v>10124</v>
      </c>
      <c r="F126" s="2" t="str">
        <f t="shared" si="1"/>
        <v>("SPO-FIT-125","Dumbbell Set","Sports","Fitness","10124"),</v>
      </c>
    </row>
    <row r="127" spans="1:6" x14ac:dyDescent="0.3">
      <c r="A127" t="s">
        <v>127</v>
      </c>
      <c r="B127" t="s">
        <v>257</v>
      </c>
      <c r="C127" t="s">
        <v>290</v>
      </c>
      <c r="D127" t="s">
        <v>304</v>
      </c>
      <c r="E127">
        <v>8758</v>
      </c>
      <c r="F127" s="2" t="str">
        <f t="shared" si="1"/>
        <v>("SPO-FIT-126","Resistance Band","Sports","Fitness","8758"),</v>
      </c>
    </row>
    <row r="128" spans="1:6" x14ac:dyDescent="0.3">
      <c r="A128" t="s">
        <v>128</v>
      </c>
      <c r="B128" t="s">
        <v>258</v>
      </c>
      <c r="C128" t="s">
        <v>290</v>
      </c>
      <c r="D128" t="s">
        <v>304</v>
      </c>
      <c r="E128">
        <v>207</v>
      </c>
      <c r="F128" s="2" t="str">
        <f t="shared" si="1"/>
        <v>("SPO-FIT-127","Dumbbell Set","Sports","Fitness","207"),</v>
      </c>
    </row>
    <row r="129" spans="1:6" x14ac:dyDescent="0.3">
      <c r="A129" t="s">
        <v>129</v>
      </c>
      <c r="B129" t="s">
        <v>258</v>
      </c>
      <c r="C129" t="s">
        <v>290</v>
      </c>
      <c r="D129" t="s">
        <v>304</v>
      </c>
      <c r="E129">
        <v>8203</v>
      </c>
      <c r="F129" s="2" t="str">
        <f t="shared" si="1"/>
        <v>("SPO-FIT-128","Dumbbell Set","Sports","Fitness","8203"),</v>
      </c>
    </row>
    <row r="130" spans="1:6" x14ac:dyDescent="0.3">
      <c r="A130" t="s">
        <v>130</v>
      </c>
      <c r="B130" t="s">
        <v>256</v>
      </c>
      <c r="C130" t="s">
        <v>290</v>
      </c>
      <c r="D130" t="s">
        <v>304</v>
      </c>
      <c r="E130">
        <v>30651</v>
      </c>
      <c r="F130" s="2" t="str">
        <f t="shared" si="1"/>
        <v>("SPO-FIT-129","Treadmill","Sports","Fitness","30651"),</v>
      </c>
    </row>
    <row r="131" spans="1:6" x14ac:dyDescent="0.3">
      <c r="A131" t="s">
        <v>131</v>
      </c>
      <c r="B131" t="s">
        <v>259</v>
      </c>
      <c r="C131" t="s">
        <v>290</v>
      </c>
      <c r="D131" t="s">
        <v>304</v>
      </c>
      <c r="E131">
        <v>10213</v>
      </c>
      <c r="F131" s="2" t="str">
        <f t="shared" ref="F131:F194" si="2">"("""&amp;A131&amp;""","""&amp;B131&amp;""","""&amp;C131&amp;""","""&amp;D131&amp;""","""&amp;E131&amp;"""),"</f>
        <v>("SPO-FIT-130","Skipping Rope","Sports","Fitness","10213"),</v>
      </c>
    </row>
    <row r="132" spans="1:6" x14ac:dyDescent="0.3">
      <c r="A132" t="s">
        <v>132</v>
      </c>
      <c r="B132" t="s">
        <v>260</v>
      </c>
      <c r="C132" t="s">
        <v>290</v>
      </c>
      <c r="D132" t="s">
        <v>305</v>
      </c>
      <c r="E132">
        <v>57530</v>
      </c>
      <c r="F132" s="2" t="str">
        <f t="shared" si="2"/>
        <v>("SPO-OUT-131","Cricket Bat","Sports","Outdoor","57530"),</v>
      </c>
    </row>
    <row r="133" spans="1:6" x14ac:dyDescent="0.3">
      <c r="A133" t="s">
        <v>133</v>
      </c>
      <c r="B133" t="s">
        <v>261</v>
      </c>
      <c r="C133" t="s">
        <v>290</v>
      </c>
      <c r="D133" t="s">
        <v>305</v>
      </c>
      <c r="E133">
        <v>41258</v>
      </c>
      <c r="F133" s="2" t="str">
        <f t="shared" si="2"/>
        <v>("SPO-OUT-132","Camping Tent","Sports","Outdoor","41258"),</v>
      </c>
    </row>
    <row r="134" spans="1:6" x14ac:dyDescent="0.3">
      <c r="A134" t="s">
        <v>134</v>
      </c>
      <c r="B134" t="s">
        <v>262</v>
      </c>
      <c r="C134" t="s">
        <v>290</v>
      </c>
      <c r="D134" t="s">
        <v>305</v>
      </c>
      <c r="E134">
        <v>3708</v>
      </c>
      <c r="F134" s="2" t="str">
        <f t="shared" si="2"/>
        <v>("SPO-OUT-133","Basketball","Sports","Outdoor","3708"),</v>
      </c>
    </row>
    <row r="135" spans="1:6" x14ac:dyDescent="0.3">
      <c r="A135" t="s">
        <v>135</v>
      </c>
      <c r="B135" t="s">
        <v>260</v>
      </c>
      <c r="C135" t="s">
        <v>290</v>
      </c>
      <c r="D135" t="s">
        <v>305</v>
      </c>
      <c r="E135">
        <v>59464</v>
      </c>
      <c r="F135" s="2" t="str">
        <f t="shared" si="2"/>
        <v>("SPO-OUT-134","Cricket Bat","Sports","Outdoor","59464"),</v>
      </c>
    </row>
    <row r="136" spans="1:6" x14ac:dyDescent="0.3">
      <c r="A136" t="s">
        <v>136</v>
      </c>
      <c r="B136" t="s">
        <v>261</v>
      </c>
      <c r="C136" t="s">
        <v>290</v>
      </c>
      <c r="D136" t="s">
        <v>305</v>
      </c>
      <c r="E136">
        <v>4362</v>
      </c>
      <c r="F136" s="2" t="str">
        <f t="shared" si="2"/>
        <v>("SPO-OUT-135","Camping Tent","Sports","Outdoor","4362"),</v>
      </c>
    </row>
    <row r="137" spans="1:6" x14ac:dyDescent="0.3">
      <c r="A137" t="s">
        <v>137</v>
      </c>
      <c r="B137" t="s">
        <v>263</v>
      </c>
      <c r="C137" t="s">
        <v>290</v>
      </c>
      <c r="D137" t="s">
        <v>305</v>
      </c>
      <c r="E137">
        <v>18891</v>
      </c>
      <c r="F137" s="2" t="str">
        <f t="shared" si="2"/>
        <v>("SPO-OUT-136","Tennis Racket","Sports","Outdoor","18891"),</v>
      </c>
    </row>
    <row r="138" spans="1:6" x14ac:dyDescent="0.3">
      <c r="A138" t="s">
        <v>138</v>
      </c>
      <c r="B138" t="s">
        <v>261</v>
      </c>
      <c r="C138" t="s">
        <v>290</v>
      </c>
      <c r="D138" t="s">
        <v>305</v>
      </c>
      <c r="E138">
        <v>12439</v>
      </c>
      <c r="F138" s="2" t="str">
        <f t="shared" si="2"/>
        <v>("SPO-OUT-137","Camping Tent","Sports","Outdoor","12439"),</v>
      </c>
    </row>
    <row r="139" spans="1:6" x14ac:dyDescent="0.3">
      <c r="A139" t="s">
        <v>139</v>
      </c>
      <c r="B139" t="s">
        <v>262</v>
      </c>
      <c r="C139" t="s">
        <v>290</v>
      </c>
      <c r="D139" t="s">
        <v>305</v>
      </c>
      <c r="E139">
        <v>43185</v>
      </c>
      <c r="F139" s="2" t="str">
        <f t="shared" si="2"/>
        <v>("SPO-OUT-138","Basketball","Sports","Outdoor","43185"),</v>
      </c>
    </row>
    <row r="140" spans="1:6" x14ac:dyDescent="0.3">
      <c r="A140" t="s">
        <v>140</v>
      </c>
      <c r="B140" t="s">
        <v>263</v>
      </c>
      <c r="C140" t="s">
        <v>290</v>
      </c>
      <c r="D140" t="s">
        <v>305</v>
      </c>
      <c r="E140">
        <v>17876</v>
      </c>
      <c r="F140" s="2" t="str">
        <f t="shared" si="2"/>
        <v>("SPO-OUT-139","Tennis Racket","Sports","Outdoor","17876"),</v>
      </c>
    </row>
    <row r="141" spans="1:6" x14ac:dyDescent="0.3">
      <c r="A141" t="s">
        <v>141</v>
      </c>
      <c r="B141" t="s">
        <v>261</v>
      </c>
      <c r="C141" t="s">
        <v>290</v>
      </c>
      <c r="D141" t="s">
        <v>305</v>
      </c>
      <c r="E141">
        <v>28092</v>
      </c>
      <c r="F141" s="2" t="str">
        <f t="shared" si="2"/>
        <v>("SPO-OUT-140","Camping Tent","Sports","Outdoor","28092"),</v>
      </c>
    </row>
    <row r="142" spans="1:6" x14ac:dyDescent="0.3">
      <c r="A142" t="s">
        <v>142</v>
      </c>
      <c r="B142" t="s">
        <v>264</v>
      </c>
      <c r="C142" t="s">
        <v>290</v>
      </c>
      <c r="D142" t="s">
        <v>306</v>
      </c>
      <c r="E142">
        <v>35904</v>
      </c>
      <c r="F142" s="2" t="str">
        <f t="shared" si="2"/>
        <v>("SPO-IND-141","Table Tennis Kit","Sports","Indoor","35904"),</v>
      </c>
    </row>
    <row r="143" spans="1:6" x14ac:dyDescent="0.3">
      <c r="A143" t="s">
        <v>143</v>
      </c>
      <c r="B143" t="s">
        <v>265</v>
      </c>
      <c r="C143" t="s">
        <v>290</v>
      </c>
      <c r="D143" t="s">
        <v>306</v>
      </c>
      <c r="E143">
        <v>27197</v>
      </c>
      <c r="F143" s="2" t="str">
        <f t="shared" si="2"/>
        <v>("SPO-IND-142","Darts Board","Sports","Indoor","27197"),</v>
      </c>
    </row>
    <row r="144" spans="1:6" x14ac:dyDescent="0.3">
      <c r="A144" t="s">
        <v>144</v>
      </c>
      <c r="B144" t="s">
        <v>266</v>
      </c>
      <c r="C144" t="s">
        <v>290</v>
      </c>
      <c r="D144" t="s">
        <v>306</v>
      </c>
      <c r="E144">
        <v>7995</v>
      </c>
      <c r="F144" s="2" t="str">
        <f t="shared" si="2"/>
        <v>("SPO-IND-143","Chess Set","Sports","Indoor","7995"),</v>
      </c>
    </row>
    <row r="145" spans="1:6" x14ac:dyDescent="0.3">
      <c r="A145" t="s">
        <v>145</v>
      </c>
      <c r="B145" t="s">
        <v>264</v>
      </c>
      <c r="C145" t="s">
        <v>290</v>
      </c>
      <c r="D145" t="s">
        <v>306</v>
      </c>
      <c r="E145">
        <v>33170</v>
      </c>
      <c r="F145" s="2" t="str">
        <f t="shared" si="2"/>
        <v>("SPO-IND-144","Table Tennis Kit","Sports","Indoor","33170"),</v>
      </c>
    </row>
    <row r="146" spans="1:6" x14ac:dyDescent="0.3">
      <c r="A146" t="s">
        <v>146</v>
      </c>
      <c r="B146" t="s">
        <v>267</v>
      </c>
      <c r="C146" t="s">
        <v>290</v>
      </c>
      <c r="D146" t="s">
        <v>306</v>
      </c>
      <c r="E146">
        <v>46204</v>
      </c>
      <c r="F146" s="2" t="str">
        <f t="shared" si="2"/>
        <v>("SPO-IND-145","Ludo Game","Sports","Indoor","46204"),</v>
      </c>
    </row>
    <row r="147" spans="1:6" x14ac:dyDescent="0.3">
      <c r="A147" t="s">
        <v>147</v>
      </c>
      <c r="B147" t="s">
        <v>267</v>
      </c>
      <c r="C147" t="s">
        <v>290</v>
      </c>
      <c r="D147" t="s">
        <v>306</v>
      </c>
      <c r="E147">
        <v>37601</v>
      </c>
      <c r="F147" s="2" t="str">
        <f t="shared" si="2"/>
        <v>("SPO-IND-146","Ludo Game","Sports","Indoor","37601"),</v>
      </c>
    </row>
    <row r="148" spans="1:6" x14ac:dyDescent="0.3">
      <c r="A148" t="s">
        <v>148</v>
      </c>
      <c r="B148" t="s">
        <v>264</v>
      </c>
      <c r="C148" t="s">
        <v>290</v>
      </c>
      <c r="D148" t="s">
        <v>306</v>
      </c>
      <c r="E148">
        <v>27466</v>
      </c>
      <c r="F148" s="2" t="str">
        <f t="shared" si="2"/>
        <v>("SPO-IND-147","Table Tennis Kit","Sports","Indoor","27466"),</v>
      </c>
    </row>
    <row r="149" spans="1:6" x14ac:dyDescent="0.3">
      <c r="A149" t="s">
        <v>149</v>
      </c>
      <c r="B149" t="s">
        <v>266</v>
      </c>
      <c r="C149" t="s">
        <v>290</v>
      </c>
      <c r="D149" t="s">
        <v>306</v>
      </c>
      <c r="E149">
        <v>10382</v>
      </c>
      <c r="F149" s="2" t="str">
        <f t="shared" si="2"/>
        <v>("SPO-IND-148","Chess Set","Sports","Indoor","10382"),</v>
      </c>
    </row>
    <row r="150" spans="1:6" x14ac:dyDescent="0.3">
      <c r="A150" t="s">
        <v>150</v>
      </c>
      <c r="B150" t="s">
        <v>268</v>
      </c>
      <c r="C150" t="s">
        <v>290</v>
      </c>
      <c r="D150" t="s">
        <v>306</v>
      </c>
      <c r="E150">
        <v>58893</v>
      </c>
      <c r="F150" s="2" t="str">
        <f t="shared" si="2"/>
        <v>("SPO-IND-149","Carrom Board","Sports","Indoor","58893"),</v>
      </c>
    </row>
    <row r="151" spans="1:6" x14ac:dyDescent="0.3">
      <c r="A151" t="s">
        <v>151</v>
      </c>
      <c r="B151" t="s">
        <v>265</v>
      </c>
      <c r="C151" t="s">
        <v>290</v>
      </c>
      <c r="D151" t="s">
        <v>306</v>
      </c>
      <c r="E151">
        <v>29612</v>
      </c>
      <c r="F151" s="2" t="str">
        <f t="shared" si="2"/>
        <v>("SPO-IND-150","Darts Board","Sports","Indoor","29612"),</v>
      </c>
    </row>
    <row r="152" spans="1:6" x14ac:dyDescent="0.3">
      <c r="A152" t="s">
        <v>152</v>
      </c>
      <c r="B152" t="s">
        <v>212</v>
      </c>
      <c r="C152" t="s">
        <v>290</v>
      </c>
      <c r="D152" t="s">
        <v>294</v>
      </c>
      <c r="E152">
        <v>46741</v>
      </c>
      <c r="F152" s="2" t="str">
        <f t="shared" si="2"/>
        <v>("SPO-ACC-151","Power Bank 10000mAh","Sports","Accessories","46741"),</v>
      </c>
    </row>
    <row r="153" spans="1:6" x14ac:dyDescent="0.3">
      <c r="A153" t="s">
        <v>153</v>
      </c>
      <c r="B153" t="s">
        <v>212</v>
      </c>
      <c r="C153" t="s">
        <v>290</v>
      </c>
      <c r="D153" t="s">
        <v>294</v>
      </c>
      <c r="E153">
        <v>13173</v>
      </c>
      <c r="F153" s="2" t="str">
        <f t="shared" si="2"/>
        <v>("SPO-ACC-152","Power Bank 10000mAh","Sports","Accessories","13173"),</v>
      </c>
    </row>
    <row r="154" spans="1:6" x14ac:dyDescent="0.3">
      <c r="A154" t="s">
        <v>154</v>
      </c>
      <c r="B154" t="s">
        <v>214</v>
      </c>
      <c r="C154" t="s">
        <v>290</v>
      </c>
      <c r="D154" t="s">
        <v>294</v>
      </c>
      <c r="E154">
        <v>10596</v>
      </c>
      <c r="F154" s="2" t="str">
        <f t="shared" si="2"/>
        <v>("SPO-ACC-153","Smart Watch","Sports","Accessories","10596"),</v>
      </c>
    </row>
    <row r="155" spans="1:6" x14ac:dyDescent="0.3">
      <c r="A155" t="s">
        <v>155</v>
      </c>
      <c r="B155" t="s">
        <v>214</v>
      </c>
      <c r="C155" t="s">
        <v>290</v>
      </c>
      <c r="D155" t="s">
        <v>294</v>
      </c>
      <c r="E155">
        <v>37291</v>
      </c>
      <c r="F155" s="2" t="str">
        <f t="shared" si="2"/>
        <v>("SPO-ACC-154","Smart Watch","Sports","Accessories","37291"),</v>
      </c>
    </row>
    <row r="156" spans="1:6" x14ac:dyDescent="0.3">
      <c r="A156" t="s">
        <v>156</v>
      </c>
      <c r="B156" t="s">
        <v>215</v>
      </c>
      <c r="C156" t="s">
        <v>290</v>
      </c>
      <c r="D156" t="s">
        <v>294</v>
      </c>
      <c r="E156">
        <v>23828</v>
      </c>
      <c r="F156" s="2" t="str">
        <f t="shared" si="2"/>
        <v>("SPO-ACC-155","Wireless Mouse","Sports","Accessories","23828"),</v>
      </c>
    </row>
    <row r="157" spans="1:6" x14ac:dyDescent="0.3">
      <c r="A157" t="s">
        <v>157</v>
      </c>
      <c r="B157" t="s">
        <v>213</v>
      </c>
      <c r="C157" t="s">
        <v>290</v>
      </c>
      <c r="D157" t="s">
        <v>294</v>
      </c>
      <c r="E157">
        <v>3866</v>
      </c>
      <c r="F157" s="2" t="str">
        <f t="shared" si="2"/>
        <v>("SPO-ACC-156","Bluetooth Earbuds","Sports","Accessories","3866"),</v>
      </c>
    </row>
    <row r="158" spans="1:6" x14ac:dyDescent="0.3">
      <c r="A158" t="s">
        <v>158</v>
      </c>
      <c r="B158" t="s">
        <v>214</v>
      </c>
      <c r="C158" t="s">
        <v>290</v>
      </c>
      <c r="D158" t="s">
        <v>294</v>
      </c>
      <c r="E158">
        <v>18980</v>
      </c>
      <c r="F158" s="2" t="str">
        <f t="shared" si="2"/>
        <v>("SPO-ACC-157","Smart Watch","Sports","Accessories","18980"),</v>
      </c>
    </row>
    <row r="159" spans="1:6" x14ac:dyDescent="0.3">
      <c r="A159" t="s">
        <v>159</v>
      </c>
      <c r="B159" t="s">
        <v>214</v>
      </c>
      <c r="C159" t="s">
        <v>290</v>
      </c>
      <c r="D159" t="s">
        <v>294</v>
      </c>
      <c r="E159">
        <v>34426</v>
      </c>
      <c r="F159" s="2" t="str">
        <f t="shared" si="2"/>
        <v>("SPO-ACC-158","Smart Watch","Sports","Accessories","34426"),</v>
      </c>
    </row>
    <row r="160" spans="1:6" x14ac:dyDescent="0.3">
      <c r="A160" t="s">
        <v>160</v>
      </c>
      <c r="B160" t="s">
        <v>214</v>
      </c>
      <c r="C160" t="s">
        <v>290</v>
      </c>
      <c r="D160" t="s">
        <v>294</v>
      </c>
      <c r="E160">
        <v>351</v>
      </c>
      <c r="F160" s="2" t="str">
        <f t="shared" si="2"/>
        <v>("SPO-ACC-159","Smart Watch","Sports","Accessories","351"),</v>
      </c>
    </row>
    <row r="161" spans="1:6" x14ac:dyDescent="0.3">
      <c r="A161" t="s">
        <v>161</v>
      </c>
      <c r="B161" t="s">
        <v>213</v>
      </c>
      <c r="C161" t="s">
        <v>290</v>
      </c>
      <c r="D161" t="s">
        <v>294</v>
      </c>
      <c r="E161">
        <v>36835</v>
      </c>
      <c r="F161" s="2" t="str">
        <f t="shared" si="2"/>
        <v>("SPO-ACC-160","Bluetooth Earbuds","Sports","Accessories","36835"),</v>
      </c>
    </row>
    <row r="162" spans="1:6" x14ac:dyDescent="0.3">
      <c r="A162" t="s">
        <v>162</v>
      </c>
      <c r="B162" t="s">
        <v>269</v>
      </c>
      <c r="C162" t="s">
        <v>291</v>
      </c>
      <c r="D162" t="s">
        <v>307</v>
      </c>
      <c r="E162">
        <v>21854</v>
      </c>
      <c r="F162" s="2" t="str">
        <f t="shared" si="2"/>
        <v>("BEA-SKI-161","Moisturizer","Beauty","Skincare","21854"),</v>
      </c>
    </row>
    <row r="163" spans="1:6" x14ac:dyDescent="0.3">
      <c r="A163" t="s">
        <v>163</v>
      </c>
      <c r="B163" t="s">
        <v>270</v>
      </c>
      <c r="C163" t="s">
        <v>291</v>
      </c>
      <c r="D163" t="s">
        <v>307</v>
      </c>
      <c r="E163">
        <v>57387</v>
      </c>
      <c r="F163" s="2" t="str">
        <f t="shared" si="2"/>
        <v>("BEA-SKI-162","Lakme Face Cream","Beauty","Skincare","57387"),</v>
      </c>
    </row>
    <row r="164" spans="1:6" x14ac:dyDescent="0.3">
      <c r="A164" t="s">
        <v>164</v>
      </c>
      <c r="B164" t="s">
        <v>271</v>
      </c>
      <c r="C164" t="s">
        <v>291</v>
      </c>
      <c r="D164" t="s">
        <v>307</v>
      </c>
      <c r="E164">
        <v>54472</v>
      </c>
      <c r="F164" s="2" t="str">
        <f t="shared" si="2"/>
        <v>("BEA-SKI-163","Aloe Vera Gel","Beauty","Skincare","54472"),</v>
      </c>
    </row>
    <row r="165" spans="1:6" x14ac:dyDescent="0.3">
      <c r="A165" t="s">
        <v>165</v>
      </c>
      <c r="B165" t="s">
        <v>269</v>
      </c>
      <c r="C165" t="s">
        <v>291</v>
      </c>
      <c r="D165" t="s">
        <v>307</v>
      </c>
      <c r="E165">
        <v>46803</v>
      </c>
      <c r="F165" s="2" t="str">
        <f t="shared" si="2"/>
        <v>("BEA-SKI-164","Moisturizer","Beauty","Skincare","46803"),</v>
      </c>
    </row>
    <row r="166" spans="1:6" x14ac:dyDescent="0.3">
      <c r="A166" t="s">
        <v>166</v>
      </c>
      <c r="B166" t="s">
        <v>272</v>
      </c>
      <c r="C166" t="s">
        <v>291</v>
      </c>
      <c r="D166" t="s">
        <v>307</v>
      </c>
      <c r="E166">
        <v>39642</v>
      </c>
      <c r="F166" s="2" t="str">
        <f t="shared" si="2"/>
        <v>("BEA-SKI-165","Sunscreen Lotion","Beauty","Skincare","39642"),</v>
      </c>
    </row>
    <row r="167" spans="1:6" x14ac:dyDescent="0.3">
      <c r="A167" t="s">
        <v>167</v>
      </c>
      <c r="B167" t="s">
        <v>273</v>
      </c>
      <c r="C167" t="s">
        <v>291</v>
      </c>
      <c r="D167" t="s">
        <v>307</v>
      </c>
      <c r="E167">
        <v>33897</v>
      </c>
      <c r="F167" s="2" t="str">
        <f t="shared" si="2"/>
        <v>("BEA-SKI-166","Face Wash","Beauty","Skincare","33897"),</v>
      </c>
    </row>
    <row r="168" spans="1:6" x14ac:dyDescent="0.3">
      <c r="A168" t="s">
        <v>168</v>
      </c>
      <c r="B168" t="s">
        <v>271</v>
      </c>
      <c r="C168" t="s">
        <v>291</v>
      </c>
      <c r="D168" t="s">
        <v>307</v>
      </c>
      <c r="E168">
        <v>57187</v>
      </c>
      <c r="F168" s="2" t="str">
        <f t="shared" si="2"/>
        <v>("BEA-SKI-167","Aloe Vera Gel","Beauty","Skincare","57187"),</v>
      </c>
    </row>
    <row r="169" spans="1:6" x14ac:dyDescent="0.3">
      <c r="A169" t="s">
        <v>169</v>
      </c>
      <c r="B169" t="s">
        <v>270</v>
      </c>
      <c r="C169" t="s">
        <v>291</v>
      </c>
      <c r="D169" t="s">
        <v>307</v>
      </c>
      <c r="E169">
        <v>13580</v>
      </c>
      <c r="F169" s="2" t="str">
        <f t="shared" si="2"/>
        <v>("BEA-SKI-168","Lakme Face Cream","Beauty","Skincare","13580"),</v>
      </c>
    </row>
    <row r="170" spans="1:6" x14ac:dyDescent="0.3">
      <c r="A170" t="s">
        <v>170</v>
      </c>
      <c r="B170" t="s">
        <v>272</v>
      </c>
      <c r="C170" t="s">
        <v>291</v>
      </c>
      <c r="D170" t="s">
        <v>307</v>
      </c>
      <c r="E170">
        <v>55860</v>
      </c>
      <c r="F170" s="2" t="str">
        <f t="shared" si="2"/>
        <v>("BEA-SKI-169","Sunscreen Lotion","Beauty","Skincare","55860"),</v>
      </c>
    </row>
    <row r="171" spans="1:6" x14ac:dyDescent="0.3">
      <c r="A171" t="s">
        <v>171</v>
      </c>
      <c r="B171" t="s">
        <v>270</v>
      </c>
      <c r="C171" t="s">
        <v>291</v>
      </c>
      <c r="D171" t="s">
        <v>307</v>
      </c>
      <c r="E171">
        <v>20857</v>
      </c>
      <c r="F171" s="2" t="str">
        <f t="shared" si="2"/>
        <v>("BEA-SKI-170","Lakme Face Cream","Beauty","Skincare","20857"),</v>
      </c>
    </row>
    <row r="172" spans="1:6" x14ac:dyDescent="0.3">
      <c r="A172" t="s">
        <v>172</v>
      </c>
      <c r="B172" t="s">
        <v>274</v>
      </c>
      <c r="C172" t="s">
        <v>291</v>
      </c>
      <c r="D172" t="s">
        <v>308</v>
      </c>
      <c r="E172">
        <v>58133</v>
      </c>
      <c r="F172" s="2" t="str">
        <f t="shared" si="2"/>
        <v>("BEA-HAI-171","Hair Serum","Beauty","Haircare","58133"),</v>
      </c>
    </row>
    <row r="173" spans="1:6" x14ac:dyDescent="0.3">
      <c r="A173" t="s">
        <v>173</v>
      </c>
      <c r="B173" t="s">
        <v>274</v>
      </c>
      <c r="C173" t="s">
        <v>291</v>
      </c>
      <c r="D173" t="s">
        <v>308</v>
      </c>
      <c r="E173">
        <v>27917</v>
      </c>
      <c r="F173" s="2" t="str">
        <f t="shared" si="2"/>
        <v>("BEA-HAI-172","Hair Serum","Beauty","Haircare","27917"),</v>
      </c>
    </row>
    <row r="174" spans="1:6" x14ac:dyDescent="0.3">
      <c r="A174" t="s">
        <v>174</v>
      </c>
      <c r="B174" t="s">
        <v>275</v>
      </c>
      <c r="C174" t="s">
        <v>291</v>
      </c>
      <c r="D174" t="s">
        <v>308</v>
      </c>
      <c r="E174">
        <v>39003</v>
      </c>
      <c r="F174" s="2" t="str">
        <f t="shared" si="2"/>
        <v>("BEA-HAI-173","Herbal Oil","Beauty","Haircare","39003"),</v>
      </c>
    </row>
    <row r="175" spans="1:6" x14ac:dyDescent="0.3">
      <c r="A175" t="s">
        <v>175</v>
      </c>
      <c r="B175" t="s">
        <v>276</v>
      </c>
      <c r="C175" t="s">
        <v>291</v>
      </c>
      <c r="D175" t="s">
        <v>308</v>
      </c>
      <c r="E175">
        <v>45995</v>
      </c>
      <c r="F175" s="2" t="str">
        <f t="shared" si="2"/>
        <v>("BEA-HAI-174","Hair Color Kit","Beauty","Haircare","45995"),</v>
      </c>
    </row>
    <row r="176" spans="1:6" x14ac:dyDescent="0.3">
      <c r="A176" t="s">
        <v>176</v>
      </c>
      <c r="B176" t="s">
        <v>274</v>
      </c>
      <c r="C176" t="s">
        <v>291</v>
      </c>
      <c r="D176" t="s">
        <v>308</v>
      </c>
      <c r="E176">
        <v>26405</v>
      </c>
      <c r="F176" s="2" t="str">
        <f t="shared" si="2"/>
        <v>("BEA-HAI-175","Hair Serum","Beauty","Haircare","26405"),</v>
      </c>
    </row>
    <row r="177" spans="1:6" x14ac:dyDescent="0.3">
      <c r="A177" t="s">
        <v>177</v>
      </c>
      <c r="B177" t="s">
        <v>277</v>
      </c>
      <c r="C177" t="s">
        <v>291</v>
      </c>
      <c r="D177" t="s">
        <v>308</v>
      </c>
      <c r="E177">
        <v>12637</v>
      </c>
      <c r="F177" s="2" t="str">
        <f t="shared" si="2"/>
        <v>("BEA-HAI-176","Loreal Conditioner","Beauty","Haircare","12637"),</v>
      </c>
    </row>
    <row r="178" spans="1:6" x14ac:dyDescent="0.3">
      <c r="A178" t="s">
        <v>178</v>
      </c>
      <c r="B178" t="s">
        <v>274</v>
      </c>
      <c r="C178" t="s">
        <v>291</v>
      </c>
      <c r="D178" t="s">
        <v>308</v>
      </c>
      <c r="E178">
        <v>51789</v>
      </c>
      <c r="F178" s="2" t="str">
        <f t="shared" si="2"/>
        <v>("BEA-HAI-177","Hair Serum","Beauty","Haircare","51789"),</v>
      </c>
    </row>
    <row r="179" spans="1:6" x14ac:dyDescent="0.3">
      <c r="A179" t="s">
        <v>179</v>
      </c>
      <c r="B179" t="s">
        <v>278</v>
      </c>
      <c r="C179" t="s">
        <v>291</v>
      </c>
      <c r="D179" t="s">
        <v>308</v>
      </c>
      <c r="E179">
        <v>35056</v>
      </c>
      <c r="F179" s="2" t="str">
        <f t="shared" si="2"/>
        <v>("BEA-HAI-178","Dove Shampoo","Beauty","Haircare","35056"),</v>
      </c>
    </row>
    <row r="180" spans="1:6" x14ac:dyDescent="0.3">
      <c r="A180" t="s">
        <v>180</v>
      </c>
      <c r="B180" t="s">
        <v>277</v>
      </c>
      <c r="C180" t="s">
        <v>291</v>
      </c>
      <c r="D180" t="s">
        <v>308</v>
      </c>
      <c r="E180">
        <v>39776</v>
      </c>
      <c r="F180" s="2" t="str">
        <f t="shared" si="2"/>
        <v>("BEA-HAI-179","Loreal Conditioner","Beauty","Haircare","39776"),</v>
      </c>
    </row>
    <row r="181" spans="1:6" x14ac:dyDescent="0.3">
      <c r="A181" t="s">
        <v>181</v>
      </c>
      <c r="B181" t="s">
        <v>274</v>
      </c>
      <c r="C181" t="s">
        <v>291</v>
      </c>
      <c r="D181" t="s">
        <v>308</v>
      </c>
      <c r="E181">
        <v>20552</v>
      </c>
      <c r="F181" s="2" t="str">
        <f t="shared" si="2"/>
        <v>("BEA-HAI-180","Hair Serum","Beauty","Haircare","20552"),</v>
      </c>
    </row>
    <row r="182" spans="1:6" x14ac:dyDescent="0.3">
      <c r="A182" t="s">
        <v>182</v>
      </c>
      <c r="B182" t="s">
        <v>279</v>
      </c>
      <c r="C182" t="s">
        <v>291</v>
      </c>
      <c r="D182" t="s">
        <v>309</v>
      </c>
      <c r="E182">
        <v>30874</v>
      </c>
      <c r="F182" s="2" t="str">
        <f t="shared" si="2"/>
        <v>("BEA-MAK-181","Compact Powder","Beauty","Makeup","30874"),</v>
      </c>
    </row>
    <row r="183" spans="1:6" x14ac:dyDescent="0.3">
      <c r="A183" t="s">
        <v>183</v>
      </c>
      <c r="B183" t="s">
        <v>280</v>
      </c>
      <c r="C183" t="s">
        <v>291</v>
      </c>
      <c r="D183" t="s">
        <v>309</v>
      </c>
      <c r="E183">
        <v>37739</v>
      </c>
      <c r="F183" s="2" t="str">
        <f t="shared" si="2"/>
        <v>("BEA-MAK-182","Nail Polish Set","Beauty","Makeup","37739"),</v>
      </c>
    </row>
    <row r="184" spans="1:6" x14ac:dyDescent="0.3">
      <c r="A184" t="s">
        <v>184</v>
      </c>
      <c r="B184" t="s">
        <v>280</v>
      </c>
      <c r="C184" t="s">
        <v>291</v>
      </c>
      <c r="D184" t="s">
        <v>309</v>
      </c>
      <c r="E184">
        <v>6084</v>
      </c>
      <c r="F184" s="2" t="str">
        <f t="shared" si="2"/>
        <v>("BEA-MAK-183","Nail Polish Set","Beauty","Makeup","6084"),</v>
      </c>
    </row>
    <row r="185" spans="1:6" x14ac:dyDescent="0.3">
      <c r="A185" t="s">
        <v>185</v>
      </c>
      <c r="B185" t="s">
        <v>280</v>
      </c>
      <c r="C185" t="s">
        <v>291</v>
      </c>
      <c r="D185" t="s">
        <v>309</v>
      </c>
      <c r="E185">
        <v>18452</v>
      </c>
      <c r="F185" s="2" t="str">
        <f t="shared" si="2"/>
        <v>("BEA-MAK-184","Nail Polish Set","Beauty","Makeup","18452"),</v>
      </c>
    </row>
    <row r="186" spans="1:6" x14ac:dyDescent="0.3">
      <c r="A186" t="s">
        <v>186</v>
      </c>
      <c r="B186" t="s">
        <v>280</v>
      </c>
      <c r="C186" t="s">
        <v>291</v>
      </c>
      <c r="D186" t="s">
        <v>309</v>
      </c>
      <c r="E186">
        <v>37153</v>
      </c>
      <c r="F186" s="2" t="str">
        <f t="shared" si="2"/>
        <v>("BEA-MAK-185","Nail Polish Set","Beauty","Makeup","37153"),</v>
      </c>
    </row>
    <row r="187" spans="1:6" x14ac:dyDescent="0.3">
      <c r="A187" t="s">
        <v>187</v>
      </c>
      <c r="B187" t="s">
        <v>281</v>
      </c>
      <c r="C187" t="s">
        <v>291</v>
      </c>
      <c r="D187" t="s">
        <v>309</v>
      </c>
      <c r="E187">
        <v>14173</v>
      </c>
      <c r="F187" s="2" t="str">
        <f t="shared" si="2"/>
        <v>("BEA-MAK-186","Maybelline Mascara","Beauty","Makeup","14173"),</v>
      </c>
    </row>
    <row r="188" spans="1:6" x14ac:dyDescent="0.3">
      <c r="A188" t="s">
        <v>188</v>
      </c>
      <c r="B188" t="s">
        <v>282</v>
      </c>
      <c r="C188" t="s">
        <v>291</v>
      </c>
      <c r="D188" t="s">
        <v>309</v>
      </c>
      <c r="E188">
        <v>34519</v>
      </c>
      <c r="F188" s="2" t="str">
        <f t="shared" si="2"/>
        <v>("BEA-MAK-187","Lakme Foundation","Beauty","Makeup","34519"),</v>
      </c>
    </row>
    <row r="189" spans="1:6" x14ac:dyDescent="0.3">
      <c r="A189" t="s">
        <v>189</v>
      </c>
      <c r="B189" t="s">
        <v>281</v>
      </c>
      <c r="C189" t="s">
        <v>291</v>
      </c>
      <c r="D189" t="s">
        <v>309</v>
      </c>
      <c r="E189">
        <v>15502</v>
      </c>
      <c r="F189" s="2" t="str">
        <f t="shared" si="2"/>
        <v>("BEA-MAK-188","Maybelline Mascara","Beauty","Makeup","15502"),</v>
      </c>
    </row>
    <row r="190" spans="1:6" x14ac:dyDescent="0.3">
      <c r="A190" t="s">
        <v>190</v>
      </c>
      <c r="B190" t="s">
        <v>283</v>
      </c>
      <c r="C190" t="s">
        <v>291</v>
      </c>
      <c r="D190" t="s">
        <v>309</v>
      </c>
      <c r="E190">
        <v>7893</v>
      </c>
      <c r="F190" s="2" t="str">
        <f t="shared" si="2"/>
        <v>("BEA-MAK-189","NYKAA Lipstick","Beauty","Makeup","7893"),</v>
      </c>
    </row>
    <row r="191" spans="1:6" x14ac:dyDescent="0.3">
      <c r="A191" t="s">
        <v>191</v>
      </c>
      <c r="B191" t="s">
        <v>282</v>
      </c>
      <c r="C191" t="s">
        <v>291</v>
      </c>
      <c r="D191" t="s">
        <v>309</v>
      </c>
      <c r="E191">
        <v>47769</v>
      </c>
      <c r="F191" s="2" t="str">
        <f t="shared" si="2"/>
        <v>("BEA-MAK-190","Lakme Foundation","Beauty","Makeup","47769"),</v>
      </c>
    </row>
    <row r="192" spans="1:6" x14ac:dyDescent="0.3">
      <c r="A192" t="s">
        <v>192</v>
      </c>
      <c r="B192" t="s">
        <v>284</v>
      </c>
      <c r="C192" t="s">
        <v>291</v>
      </c>
      <c r="D192" t="s">
        <v>310</v>
      </c>
      <c r="E192">
        <v>54555</v>
      </c>
      <c r="F192" s="2" t="str">
        <f t="shared" si="2"/>
        <v>("BEA-FRA-191","Fogg Perfume","Beauty","Fragrance","54555"),</v>
      </c>
    </row>
    <row r="193" spans="1:6" x14ac:dyDescent="0.3">
      <c r="A193" t="s">
        <v>193</v>
      </c>
      <c r="B193" t="s">
        <v>285</v>
      </c>
      <c r="C193" t="s">
        <v>291</v>
      </c>
      <c r="D193" t="s">
        <v>310</v>
      </c>
      <c r="E193">
        <v>36391</v>
      </c>
      <c r="F193" s="2" t="str">
        <f t="shared" si="2"/>
        <v>("BEA-FRA-192","Dior Cologne","Beauty","Fragrance","36391"),</v>
      </c>
    </row>
    <row r="194" spans="1:6" x14ac:dyDescent="0.3">
      <c r="A194" t="s">
        <v>194</v>
      </c>
      <c r="B194" t="s">
        <v>284</v>
      </c>
      <c r="C194" t="s">
        <v>291</v>
      </c>
      <c r="D194" t="s">
        <v>310</v>
      </c>
      <c r="E194">
        <v>29622</v>
      </c>
      <c r="F194" s="2" t="str">
        <f t="shared" si="2"/>
        <v>("BEA-FRA-193","Fogg Perfume","Beauty","Fragrance","29622"),</v>
      </c>
    </row>
    <row r="195" spans="1:6" x14ac:dyDescent="0.3">
      <c r="A195" t="s">
        <v>195</v>
      </c>
      <c r="B195" t="s">
        <v>285</v>
      </c>
      <c r="C195" t="s">
        <v>291</v>
      </c>
      <c r="D195" t="s">
        <v>310</v>
      </c>
      <c r="E195">
        <v>34988</v>
      </c>
      <c r="F195" s="2" t="str">
        <f t="shared" ref="F195:F201" si="3">"("""&amp;A195&amp;""","""&amp;B195&amp;""","""&amp;C195&amp;""","""&amp;D195&amp;""","""&amp;E195&amp;"""),"</f>
        <v>("BEA-FRA-194","Dior Cologne","Beauty","Fragrance","34988"),</v>
      </c>
    </row>
    <row r="196" spans="1:6" x14ac:dyDescent="0.3">
      <c r="A196" t="s">
        <v>196</v>
      </c>
      <c r="B196" t="s">
        <v>284</v>
      </c>
      <c r="C196" t="s">
        <v>291</v>
      </c>
      <c r="D196" t="s">
        <v>310</v>
      </c>
      <c r="E196">
        <v>58710</v>
      </c>
      <c r="F196" s="2" t="str">
        <f t="shared" si="3"/>
        <v>("BEA-FRA-195","Fogg Perfume","Beauty","Fragrance","58710"),</v>
      </c>
    </row>
    <row r="197" spans="1:6" x14ac:dyDescent="0.3">
      <c r="A197" t="s">
        <v>197</v>
      </c>
      <c r="B197" t="s">
        <v>286</v>
      </c>
      <c r="C197" t="s">
        <v>291</v>
      </c>
      <c r="D197" t="s">
        <v>310</v>
      </c>
      <c r="E197">
        <v>51973</v>
      </c>
      <c r="F197" s="2" t="str">
        <f t="shared" si="3"/>
        <v>("BEA-FRA-196","Luxury Perfume","Beauty","Fragrance","51973"),</v>
      </c>
    </row>
    <row r="198" spans="1:6" x14ac:dyDescent="0.3">
      <c r="A198" t="s">
        <v>198</v>
      </c>
      <c r="B198" t="s">
        <v>287</v>
      </c>
      <c r="C198" t="s">
        <v>291</v>
      </c>
      <c r="D198" t="s">
        <v>310</v>
      </c>
      <c r="E198">
        <v>40850</v>
      </c>
      <c r="F198" s="2" t="str">
        <f t="shared" si="3"/>
        <v>("BEA-FRA-197","Floral Body Mist","Beauty","Fragrance","40850"),</v>
      </c>
    </row>
    <row r="199" spans="1:6" x14ac:dyDescent="0.3">
      <c r="A199" t="s">
        <v>199</v>
      </c>
      <c r="B199" t="s">
        <v>284</v>
      </c>
      <c r="C199" t="s">
        <v>291</v>
      </c>
      <c r="D199" t="s">
        <v>310</v>
      </c>
      <c r="E199">
        <v>58318</v>
      </c>
      <c r="F199" s="2" t="str">
        <f t="shared" si="3"/>
        <v>("BEA-FRA-198","Fogg Perfume","Beauty","Fragrance","58318"),</v>
      </c>
    </row>
    <row r="200" spans="1:6" x14ac:dyDescent="0.3">
      <c r="A200" t="s">
        <v>200</v>
      </c>
      <c r="B200" t="s">
        <v>284</v>
      </c>
      <c r="C200" t="s">
        <v>291</v>
      </c>
      <c r="D200" t="s">
        <v>310</v>
      </c>
      <c r="E200">
        <v>6734</v>
      </c>
      <c r="F200" s="2" t="str">
        <f t="shared" si="3"/>
        <v>("BEA-FRA-199","Fogg Perfume","Beauty","Fragrance","6734"),</v>
      </c>
    </row>
    <row r="201" spans="1:6" x14ac:dyDescent="0.3">
      <c r="A201" t="s">
        <v>201</v>
      </c>
      <c r="B201" t="s">
        <v>286</v>
      </c>
      <c r="C201" t="s">
        <v>291</v>
      </c>
      <c r="D201" t="s">
        <v>310</v>
      </c>
      <c r="E201">
        <v>8762</v>
      </c>
      <c r="F201" s="2" t="str">
        <f t="shared" si="3"/>
        <v>("BEA-FRA-200","Luxury Perfume","Beauty","Fragrance","8762"),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FB1E-8CCA-4578-A007-4D2DC1BBF254}">
  <dimension ref="A1:F121"/>
  <sheetViews>
    <sheetView topLeftCell="A97" workbookViewId="0">
      <selection activeCell="F2" sqref="F2:F121"/>
    </sheetView>
  </sheetViews>
  <sheetFormatPr defaultRowHeight="14.4" x14ac:dyDescent="0.3"/>
  <cols>
    <col min="1" max="1" width="13.5546875" bestFit="1" customWidth="1"/>
    <col min="2" max="2" width="15" bestFit="1" customWidth="1"/>
    <col min="3" max="3" width="10.109375" bestFit="1" customWidth="1"/>
    <col min="4" max="4" width="11" bestFit="1" customWidth="1"/>
    <col min="5" max="5" width="9.5546875" bestFit="1" customWidth="1"/>
  </cols>
  <sheetData>
    <row r="1" spans="1:6" x14ac:dyDescent="0.3">
      <c r="A1" s="1" t="s">
        <v>560</v>
      </c>
      <c r="B1" s="1" t="s">
        <v>559</v>
      </c>
      <c r="C1" s="1" t="s">
        <v>558</v>
      </c>
      <c r="D1" s="1" t="s">
        <v>557</v>
      </c>
      <c r="E1" s="1" t="s">
        <v>556</v>
      </c>
    </row>
    <row r="2" spans="1:6" x14ac:dyDescent="0.3">
      <c r="A2" t="s">
        <v>555</v>
      </c>
      <c r="B2" t="s">
        <v>554</v>
      </c>
      <c r="C2" t="s">
        <v>353</v>
      </c>
      <c r="D2">
        <v>8568441804</v>
      </c>
      <c r="E2" t="s">
        <v>332</v>
      </c>
      <c r="F2" t="str">
        <f>"("""&amp;A2&amp;""","""&amp;B2&amp;""","""&amp;C2&amp;""","""&amp;D2&amp;""","""&amp;E2&amp;"""),"</f>
        <v>("CX-001","Pooja Yadav","Hyderabad","8568441804","Online"),</v>
      </c>
    </row>
    <row r="3" spans="1:6" x14ac:dyDescent="0.3">
      <c r="A3" t="s">
        <v>553</v>
      </c>
      <c r="B3" t="s">
        <v>552</v>
      </c>
      <c r="C3" t="s">
        <v>385</v>
      </c>
      <c r="D3">
        <v>6872082070</v>
      </c>
      <c r="E3" t="s">
        <v>332</v>
      </c>
      <c r="F3" s="2" t="str">
        <f t="shared" ref="F3:F66" si="0">"("""&amp;A3&amp;""","""&amp;B3&amp;""","""&amp;C3&amp;""","""&amp;D3&amp;""","""&amp;E3&amp;"""),"</f>
        <v>("CX-002","Pooja Rana","Chennai","6872082070","Online"),</v>
      </c>
    </row>
    <row r="4" spans="1:6" x14ac:dyDescent="0.3">
      <c r="A4" t="s">
        <v>551</v>
      </c>
      <c r="B4" t="s">
        <v>550</v>
      </c>
      <c r="C4" t="s">
        <v>326</v>
      </c>
      <c r="D4">
        <v>9543758681</v>
      </c>
      <c r="E4" t="s">
        <v>325</v>
      </c>
      <c r="F4" s="2" t="str">
        <f t="shared" si="0"/>
        <v>("CX-003","Kavita Jain","Bengaluru","9543758681","Premium"),</v>
      </c>
    </row>
    <row r="5" spans="1:6" x14ac:dyDescent="0.3">
      <c r="A5" t="s">
        <v>549</v>
      </c>
      <c r="B5" t="s">
        <v>548</v>
      </c>
      <c r="C5" t="s">
        <v>346</v>
      </c>
      <c r="D5">
        <v>6685069514</v>
      </c>
      <c r="E5" t="s">
        <v>315</v>
      </c>
      <c r="F5" s="2" t="str">
        <f t="shared" si="0"/>
        <v>("CX-004","Vikram Yadav","Delhi","6685069514","Regular"),</v>
      </c>
    </row>
    <row r="6" spans="1:6" x14ac:dyDescent="0.3">
      <c r="A6" t="s">
        <v>547</v>
      </c>
      <c r="B6" t="s">
        <v>438</v>
      </c>
      <c r="C6" t="s">
        <v>340</v>
      </c>
      <c r="D6">
        <v>6279035860</v>
      </c>
      <c r="E6" t="s">
        <v>315</v>
      </c>
      <c r="F6" s="2" t="str">
        <f t="shared" si="0"/>
        <v>("CX-005","Priya Mishra","Mumbai","6279035860","Regular"),</v>
      </c>
    </row>
    <row r="7" spans="1:6" x14ac:dyDescent="0.3">
      <c r="A7" t="s">
        <v>546</v>
      </c>
      <c r="B7" t="s">
        <v>545</v>
      </c>
      <c r="C7" t="s">
        <v>326</v>
      </c>
      <c r="D7">
        <v>9185494471</v>
      </c>
      <c r="E7" t="s">
        <v>319</v>
      </c>
      <c r="F7" s="2" t="str">
        <f t="shared" si="0"/>
        <v>("CX-006","Neha Sharma","Bengaluru","9185494471","Wholesale"),</v>
      </c>
    </row>
    <row r="8" spans="1:6" x14ac:dyDescent="0.3">
      <c r="A8" t="s">
        <v>544</v>
      </c>
      <c r="B8" t="s">
        <v>543</v>
      </c>
      <c r="C8" t="s">
        <v>320</v>
      </c>
      <c r="D8">
        <v>6247749444</v>
      </c>
      <c r="E8" t="s">
        <v>319</v>
      </c>
      <c r="F8" s="2" t="str">
        <f t="shared" si="0"/>
        <v>("CX-007","Arjun Khan","Pune","6247749444","Wholesale"),</v>
      </c>
    </row>
    <row r="9" spans="1:6" x14ac:dyDescent="0.3">
      <c r="A9" t="s">
        <v>542</v>
      </c>
      <c r="B9" t="s">
        <v>461</v>
      </c>
      <c r="C9" t="s">
        <v>353</v>
      </c>
      <c r="D9">
        <v>9362465171</v>
      </c>
      <c r="E9" t="s">
        <v>332</v>
      </c>
      <c r="F9" s="2" t="str">
        <f t="shared" si="0"/>
        <v>("CX-008","Anita Dubey","Hyderabad","9362465171","Online"),</v>
      </c>
    </row>
    <row r="10" spans="1:6" x14ac:dyDescent="0.3">
      <c r="A10" t="s">
        <v>541</v>
      </c>
      <c r="B10" t="s">
        <v>540</v>
      </c>
      <c r="C10" t="s">
        <v>326</v>
      </c>
      <c r="D10">
        <v>8549905887</v>
      </c>
      <c r="E10" t="s">
        <v>332</v>
      </c>
      <c r="F10" s="2" t="str">
        <f t="shared" si="0"/>
        <v>("CX-009","Sanjay Saxena","Bengaluru","8549905887","Online"),</v>
      </c>
    </row>
    <row r="11" spans="1:6" x14ac:dyDescent="0.3">
      <c r="A11" t="s">
        <v>539</v>
      </c>
      <c r="B11" t="s">
        <v>538</v>
      </c>
      <c r="C11" t="s">
        <v>353</v>
      </c>
      <c r="D11">
        <v>7080491987</v>
      </c>
      <c r="E11" t="s">
        <v>345</v>
      </c>
      <c r="F11" s="2" t="str">
        <f t="shared" si="0"/>
        <v>("CX-010","Pooja Singh","Hyderabad","7080491987","Retail"),</v>
      </c>
    </row>
    <row r="12" spans="1:6" x14ac:dyDescent="0.3">
      <c r="A12" t="s">
        <v>537</v>
      </c>
      <c r="B12" t="s">
        <v>536</v>
      </c>
      <c r="C12" t="s">
        <v>333</v>
      </c>
      <c r="D12">
        <v>6039163813</v>
      </c>
      <c r="E12" t="s">
        <v>315</v>
      </c>
      <c r="F12" s="2" t="str">
        <f t="shared" si="0"/>
        <v>("CX-011","Simran Yadav","Jaipur","6039163813","Regular"),</v>
      </c>
    </row>
    <row r="13" spans="1:6" x14ac:dyDescent="0.3">
      <c r="A13" t="s">
        <v>535</v>
      </c>
      <c r="B13" t="s">
        <v>534</v>
      </c>
      <c r="C13" t="s">
        <v>326</v>
      </c>
      <c r="D13">
        <v>9755434808</v>
      </c>
      <c r="E13" t="s">
        <v>325</v>
      </c>
      <c r="F13" s="2" t="str">
        <f t="shared" si="0"/>
        <v>("CX-012","Simran Rana","Bengaluru","9755434808","Premium"),</v>
      </c>
    </row>
    <row r="14" spans="1:6" x14ac:dyDescent="0.3">
      <c r="A14" t="s">
        <v>533</v>
      </c>
      <c r="B14" t="s">
        <v>532</v>
      </c>
      <c r="C14" t="s">
        <v>340</v>
      </c>
      <c r="D14">
        <v>8659708232</v>
      </c>
      <c r="E14" t="s">
        <v>345</v>
      </c>
      <c r="F14" s="2" t="str">
        <f t="shared" si="0"/>
        <v>("CX-013","Kavita Thakur","Mumbai","8659708232","Retail"),</v>
      </c>
    </row>
    <row r="15" spans="1:6" x14ac:dyDescent="0.3">
      <c r="A15" t="s">
        <v>531</v>
      </c>
      <c r="B15" t="s">
        <v>530</v>
      </c>
      <c r="C15" t="s">
        <v>320</v>
      </c>
      <c r="D15">
        <v>8766644623</v>
      </c>
      <c r="E15" t="s">
        <v>319</v>
      </c>
      <c r="F15" s="2" t="str">
        <f t="shared" si="0"/>
        <v>("CX-014","Arjun Rajput","Pune","8766644623","Wholesale"),</v>
      </c>
    </row>
    <row r="16" spans="1:6" x14ac:dyDescent="0.3">
      <c r="A16" t="s">
        <v>529</v>
      </c>
      <c r="B16" t="s">
        <v>528</v>
      </c>
      <c r="C16" t="s">
        <v>329</v>
      </c>
      <c r="D16">
        <v>7175674917</v>
      </c>
      <c r="E16" t="s">
        <v>319</v>
      </c>
      <c r="F16" s="2" t="str">
        <f t="shared" si="0"/>
        <v>("CX-015","Divya Dubey","Chandigarh","7175674917","Wholesale"),</v>
      </c>
    </row>
    <row r="17" spans="1:6" x14ac:dyDescent="0.3">
      <c r="A17" t="s">
        <v>527</v>
      </c>
      <c r="B17" t="s">
        <v>526</v>
      </c>
      <c r="C17" t="s">
        <v>375</v>
      </c>
      <c r="D17">
        <v>7366901097</v>
      </c>
      <c r="E17" t="s">
        <v>345</v>
      </c>
      <c r="F17" s="2" t="str">
        <f t="shared" si="0"/>
        <v>("CX-016","Meena Joshi","Kolkata","7366901097","Retail"),</v>
      </c>
    </row>
    <row r="18" spans="1:6" x14ac:dyDescent="0.3">
      <c r="A18" t="s">
        <v>525</v>
      </c>
      <c r="B18" t="s">
        <v>524</v>
      </c>
      <c r="C18" t="s">
        <v>333</v>
      </c>
      <c r="D18">
        <v>9715514961</v>
      </c>
      <c r="E18" t="s">
        <v>315</v>
      </c>
      <c r="F18" s="2" t="str">
        <f t="shared" si="0"/>
        <v>("CX-017","Divya Joshi","Jaipur","9715514961","Regular"),</v>
      </c>
    </row>
    <row r="19" spans="1:6" x14ac:dyDescent="0.3">
      <c r="A19" t="s">
        <v>523</v>
      </c>
      <c r="B19" t="s">
        <v>457</v>
      </c>
      <c r="C19" t="s">
        <v>375</v>
      </c>
      <c r="D19">
        <v>7041635725</v>
      </c>
      <c r="E19" t="s">
        <v>319</v>
      </c>
      <c r="F19" s="2" t="str">
        <f t="shared" si="0"/>
        <v>("CX-018","Arjun Verma","Kolkata","7041635725","Wholesale"),</v>
      </c>
    </row>
    <row r="20" spans="1:6" x14ac:dyDescent="0.3">
      <c r="A20" t="s">
        <v>522</v>
      </c>
      <c r="B20" t="s">
        <v>521</v>
      </c>
      <c r="C20" t="s">
        <v>375</v>
      </c>
      <c r="D20">
        <v>6955109017</v>
      </c>
      <c r="E20" t="s">
        <v>325</v>
      </c>
      <c r="F20" s="2" t="str">
        <f t="shared" si="0"/>
        <v>("CX-019","Pooja Verma","Kolkata","6955109017","Premium"),</v>
      </c>
    </row>
    <row r="21" spans="1:6" x14ac:dyDescent="0.3">
      <c r="A21" t="s">
        <v>520</v>
      </c>
      <c r="B21" t="s">
        <v>519</v>
      </c>
      <c r="C21" t="s">
        <v>326</v>
      </c>
      <c r="D21">
        <v>9937377950</v>
      </c>
      <c r="E21" t="s">
        <v>319</v>
      </c>
      <c r="F21" s="2" t="str">
        <f t="shared" si="0"/>
        <v>("CX-020","Raj Agarwal","Bengaluru","9937377950","Wholesale"),</v>
      </c>
    </row>
    <row r="22" spans="1:6" x14ac:dyDescent="0.3">
      <c r="A22" t="s">
        <v>518</v>
      </c>
      <c r="B22" t="s">
        <v>476</v>
      </c>
      <c r="C22" t="s">
        <v>333</v>
      </c>
      <c r="D22">
        <v>8744306878</v>
      </c>
      <c r="E22" t="s">
        <v>332</v>
      </c>
      <c r="F22" s="2" t="str">
        <f t="shared" si="0"/>
        <v>("CX-021","Anjali Rajput","Jaipur","8744306878","Online"),</v>
      </c>
    </row>
    <row r="23" spans="1:6" x14ac:dyDescent="0.3">
      <c r="A23" t="s">
        <v>517</v>
      </c>
      <c r="B23" t="s">
        <v>516</v>
      </c>
      <c r="C23" t="s">
        <v>326</v>
      </c>
      <c r="D23">
        <v>6526929695</v>
      </c>
      <c r="E23" t="s">
        <v>345</v>
      </c>
      <c r="F23" s="2" t="str">
        <f t="shared" si="0"/>
        <v>("CX-022","Vikram Rajput","Bengaluru","6526929695","Retail"),</v>
      </c>
    </row>
    <row r="24" spans="1:6" x14ac:dyDescent="0.3">
      <c r="A24" t="s">
        <v>515</v>
      </c>
      <c r="B24" t="s">
        <v>514</v>
      </c>
      <c r="C24" t="s">
        <v>316</v>
      </c>
      <c r="D24">
        <v>8524324174</v>
      </c>
      <c r="E24" t="s">
        <v>315</v>
      </c>
      <c r="F24" s="2" t="str">
        <f t="shared" si="0"/>
        <v>("CX-023","Kavita Verma","Lucknow","8524324174","Regular"),</v>
      </c>
    </row>
    <row r="25" spans="1:6" x14ac:dyDescent="0.3">
      <c r="A25" t="s">
        <v>513</v>
      </c>
      <c r="B25" t="s">
        <v>512</v>
      </c>
      <c r="C25" t="s">
        <v>316</v>
      </c>
      <c r="D25">
        <v>9221154150</v>
      </c>
      <c r="E25" t="s">
        <v>319</v>
      </c>
      <c r="F25" s="2" t="str">
        <f t="shared" si="0"/>
        <v>("CX-024","Karan Malhotra","Lucknow","9221154150","Wholesale"),</v>
      </c>
    </row>
    <row r="26" spans="1:6" x14ac:dyDescent="0.3">
      <c r="A26" t="s">
        <v>511</v>
      </c>
      <c r="B26" t="s">
        <v>510</v>
      </c>
      <c r="C26" t="s">
        <v>340</v>
      </c>
      <c r="D26">
        <v>9185245594</v>
      </c>
      <c r="E26" t="s">
        <v>325</v>
      </c>
      <c r="F26" s="2" t="str">
        <f t="shared" si="0"/>
        <v>("CX-025","Amit Mehta","Mumbai","9185245594","Premium"),</v>
      </c>
    </row>
    <row r="27" spans="1:6" x14ac:dyDescent="0.3">
      <c r="A27" t="s">
        <v>509</v>
      </c>
      <c r="B27" t="s">
        <v>508</v>
      </c>
      <c r="C27" t="s">
        <v>375</v>
      </c>
      <c r="D27">
        <v>8916015414</v>
      </c>
      <c r="E27" t="s">
        <v>315</v>
      </c>
      <c r="F27" s="2" t="str">
        <f t="shared" si="0"/>
        <v>("CX-026","Divya Thakur","Kolkata","8916015414","Regular"),</v>
      </c>
    </row>
    <row r="28" spans="1:6" x14ac:dyDescent="0.3">
      <c r="A28" t="s">
        <v>507</v>
      </c>
      <c r="B28" t="s">
        <v>506</v>
      </c>
      <c r="C28" t="s">
        <v>333</v>
      </c>
      <c r="D28">
        <v>9745578471</v>
      </c>
      <c r="E28" t="s">
        <v>345</v>
      </c>
      <c r="F28" s="2" t="str">
        <f t="shared" si="0"/>
        <v>("CX-027","Anjali Mishra","Jaipur","9745578471","Retail"),</v>
      </c>
    </row>
    <row r="29" spans="1:6" x14ac:dyDescent="0.3">
      <c r="A29" t="s">
        <v>505</v>
      </c>
      <c r="B29" t="s">
        <v>504</v>
      </c>
      <c r="C29" t="s">
        <v>385</v>
      </c>
      <c r="D29">
        <v>7236896371</v>
      </c>
      <c r="E29" t="s">
        <v>345</v>
      </c>
      <c r="F29" s="2" t="str">
        <f t="shared" si="0"/>
        <v>("CX-028","Sneha Agarwal","Chennai","7236896371","Retail"),</v>
      </c>
    </row>
    <row r="30" spans="1:6" x14ac:dyDescent="0.3">
      <c r="A30" t="s">
        <v>503</v>
      </c>
      <c r="B30" t="s">
        <v>502</v>
      </c>
      <c r="C30" t="s">
        <v>346</v>
      </c>
      <c r="D30">
        <v>6120552265</v>
      </c>
      <c r="E30" t="s">
        <v>319</v>
      </c>
      <c r="F30" s="2" t="str">
        <f t="shared" si="0"/>
        <v>("CX-029","Karan Bansal","Delhi","6120552265","Wholesale"),</v>
      </c>
    </row>
    <row r="31" spans="1:6" x14ac:dyDescent="0.3">
      <c r="A31" t="s">
        <v>501</v>
      </c>
      <c r="B31" t="s">
        <v>500</v>
      </c>
      <c r="C31" t="s">
        <v>316</v>
      </c>
      <c r="D31">
        <v>6022337213</v>
      </c>
      <c r="E31" t="s">
        <v>319</v>
      </c>
      <c r="F31" s="2" t="str">
        <f t="shared" si="0"/>
        <v>("CX-030","Kavita Mehta","Lucknow","6022337213","Wholesale"),</v>
      </c>
    </row>
    <row r="32" spans="1:6" x14ac:dyDescent="0.3">
      <c r="A32" t="s">
        <v>499</v>
      </c>
      <c r="B32" t="s">
        <v>498</v>
      </c>
      <c r="C32" t="s">
        <v>385</v>
      </c>
      <c r="D32">
        <v>8258015601</v>
      </c>
      <c r="E32" t="s">
        <v>345</v>
      </c>
      <c r="F32" s="2" t="str">
        <f t="shared" si="0"/>
        <v>("CX-031","Simran Dubey","Chennai","8258015601","Retail"),</v>
      </c>
    </row>
    <row r="33" spans="1:6" x14ac:dyDescent="0.3">
      <c r="A33" t="s">
        <v>497</v>
      </c>
      <c r="B33" t="s">
        <v>496</v>
      </c>
      <c r="C33" t="s">
        <v>385</v>
      </c>
      <c r="D33">
        <v>6379267976</v>
      </c>
      <c r="E33" t="s">
        <v>332</v>
      </c>
      <c r="F33" s="2" t="str">
        <f t="shared" si="0"/>
        <v>("CX-032","Rohit Rana","Chennai","6379267976","Online"),</v>
      </c>
    </row>
    <row r="34" spans="1:6" x14ac:dyDescent="0.3">
      <c r="A34" t="s">
        <v>495</v>
      </c>
      <c r="B34" t="s">
        <v>494</v>
      </c>
      <c r="C34" t="s">
        <v>333</v>
      </c>
      <c r="D34">
        <v>8285926282</v>
      </c>
      <c r="E34" t="s">
        <v>332</v>
      </c>
      <c r="F34" s="2" t="str">
        <f t="shared" si="0"/>
        <v>("CX-033","Manish Agarwal","Jaipur","8285926282","Online"),</v>
      </c>
    </row>
    <row r="35" spans="1:6" x14ac:dyDescent="0.3">
      <c r="A35" t="s">
        <v>493</v>
      </c>
      <c r="B35" t="s">
        <v>492</v>
      </c>
      <c r="C35" t="s">
        <v>320</v>
      </c>
      <c r="D35">
        <v>7423393245</v>
      </c>
      <c r="E35" t="s">
        <v>325</v>
      </c>
      <c r="F35" s="2" t="str">
        <f t="shared" si="0"/>
        <v>("CX-034","Pooja Agarwal","Pune","7423393245","Premium"),</v>
      </c>
    </row>
    <row r="36" spans="1:6" x14ac:dyDescent="0.3">
      <c r="A36" t="s">
        <v>491</v>
      </c>
      <c r="B36" t="s">
        <v>490</v>
      </c>
      <c r="C36" t="s">
        <v>326</v>
      </c>
      <c r="D36">
        <v>7919664775</v>
      </c>
      <c r="E36" t="s">
        <v>345</v>
      </c>
      <c r="F36" s="2" t="str">
        <f t="shared" si="0"/>
        <v>("CX-035","Meena Rajput","Bengaluru","7919664775","Retail"),</v>
      </c>
    </row>
    <row r="37" spans="1:6" x14ac:dyDescent="0.3">
      <c r="A37" t="s">
        <v>489</v>
      </c>
      <c r="B37" t="s">
        <v>488</v>
      </c>
      <c r="C37" t="s">
        <v>340</v>
      </c>
      <c r="D37">
        <v>7792477123</v>
      </c>
      <c r="E37" t="s">
        <v>332</v>
      </c>
      <c r="F37" s="2" t="str">
        <f t="shared" si="0"/>
        <v>("CX-036","Anjali Joshi","Mumbai","7792477123","Online"),</v>
      </c>
    </row>
    <row r="38" spans="1:6" x14ac:dyDescent="0.3">
      <c r="A38" t="s">
        <v>487</v>
      </c>
      <c r="B38" t="s">
        <v>402</v>
      </c>
      <c r="C38" t="s">
        <v>333</v>
      </c>
      <c r="D38">
        <v>9979874756</v>
      </c>
      <c r="E38" t="s">
        <v>315</v>
      </c>
      <c r="F38" s="2" t="str">
        <f t="shared" si="0"/>
        <v>("CX-037","Rohit Joshi","Jaipur","9979874756","Regular"),</v>
      </c>
    </row>
    <row r="39" spans="1:6" x14ac:dyDescent="0.3">
      <c r="A39" t="s">
        <v>486</v>
      </c>
      <c r="B39" t="s">
        <v>349</v>
      </c>
      <c r="C39" t="s">
        <v>340</v>
      </c>
      <c r="D39">
        <v>6928227977</v>
      </c>
      <c r="E39" t="s">
        <v>319</v>
      </c>
      <c r="F39" s="2" t="str">
        <f t="shared" si="0"/>
        <v>("CX-038","Rahul Yadav","Mumbai","6928227977","Wholesale"),</v>
      </c>
    </row>
    <row r="40" spans="1:6" x14ac:dyDescent="0.3">
      <c r="A40" t="s">
        <v>485</v>
      </c>
      <c r="B40" t="s">
        <v>484</v>
      </c>
      <c r="C40" t="s">
        <v>353</v>
      </c>
      <c r="D40">
        <v>7570686524</v>
      </c>
      <c r="E40" t="s">
        <v>332</v>
      </c>
      <c r="F40" s="2" t="str">
        <f t="shared" si="0"/>
        <v>("CX-039","Karan Patel","Hyderabad","7570686524","Online"),</v>
      </c>
    </row>
    <row r="41" spans="1:6" x14ac:dyDescent="0.3">
      <c r="A41" t="s">
        <v>483</v>
      </c>
      <c r="B41" t="s">
        <v>482</v>
      </c>
      <c r="C41" t="s">
        <v>375</v>
      </c>
      <c r="D41">
        <v>7729247782</v>
      </c>
      <c r="E41" t="s">
        <v>325</v>
      </c>
      <c r="F41" s="2" t="str">
        <f t="shared" si="0"/>
        <v>("CX-040","Simran Agarwal","Kolkata","7729247782","Premium"),</v>
      </c>
    </row>
    <row r="42" spans="1:6" x14ac:dyDescent="0.3">
      <c r="A42" t="s">
        <v>481</v>
      </c>
      <c r="B42" t="s">
        <v>480</v>
      </c>
      <c r="C42" t="s">
        <v>329</v>
      </c>
      <c r="D42">
        <v>9945578121</v>
      </c>
      <c r="E42" t="s">
        <v>325</v>
      </c>
      <c r="F42" s="2" t="str">
        <f t="shared" si="0"/>
        <v>("CX-041","Meena Gupta","Chandigarh","9945578121","Premium"),</v>
      </c>
    </row>
    <row r="43" spans="1:6" x14ac:dyDescent="0.3">
      <c r="A43" t="s">
        <v>479</v>
      </c>
      <c r="B43" t="s">
        <v>478</v>
      </c>
      <c r="C43" t="s">
        <v>333</v>
      </c>
      <c r="D43">
        <v>7600688937</v>
      </c>
      <c r="E43" t="s">
        <v>345</v>
      </c>
      <c r="F43" s="2" t="str">
        <f t="shared" si="0"/>
        <v>("CX-042","Karan Gupta","Jaipur","7600688937","Retail"),</v>
      </c>
    </row>
    <row r="44" spans="1:6" x14ac:dyDescent="0.3">
      <c r="A44" t="s">
        <v>477</v>
      </c>
      <c r="B44" t="s">
        <v>476</v>
      </c>
      <c r="C44" t="s">
        <v>333</v>
      </c>
      <c r="D44">
        <v>7727823059</v>
      </c>
      <c r="E44" t="s">
        <v>315</v>
      </c>
      <c r="F44" s="2" t="str">
        <f t="shared" si="0"/>
        <v>("CX-043","Anjali Rajput","Jaipur","7727823059","Regular"),</v>
      </c>
    </row>
    <row r="45" spans="1:6" x14ac:dyDescent="0.3">
      <c r="A45" t="s">
        <v>475</v>
      </c>
      <c r="B45" t="s">
        <v>474</v>
      </c>
      <c r="C45" t="s">
        <v>340</v>
      </c>
      <c r="D45">
        <v>6914655192</v>
      </c>
      <c r="E45" t="s">
        <v>319</v>
      </c>
      <c r="F45" s="2" t="str">
        <f t="shared" si="0"/>
        <v>("CX-044","Priya Chopra","Mumbai","6914655192","Wholesale"),</v>
      </c>
    </row>
    <row r="46" spans="1:6" x14ac:dyDescent="0.3">
      <c r="A46" t="s">
        <v>473</v>
      </c>
      <c r="B46" t="s">
        <v>472</v>
      </c>
      <c r="C46" t="s">
        <v>320</v>
      </c>
      <c r="D46">
        <v>6163050915</v>
      </c>
      <c r="E46" t="s">
        <v>345</v>
      </c>
      <c r="F46" s="2" t="str">
        <f t="shared" si="0"/>
        <v>("CX-045","Ravi Joshi","Pune","6163050915","Retail"),</v>
      </c>
    </row>
    <row r="47" spans="1:6" x14ac:dyDescent="0.3">
      <c r="A47" t="s">
        <v>471</v>
      </c>
      <c r="B47" t="s">
        <v>470</v>
      </c>
      <c r="C47" t="s">
        <v>375</v>
      </c>
      <c r="D47">
        <v>9474138369</v>
      </c>
      <c r="E47" t="s">
        <v>345</v>
      </c>
      <c r="F47" s="2" t="str">
        <f t="shared" si="0"/>
        <v>("CX-046","Priya Malhotra","Kolkata","9474138369","Retail"),</v>
      </c>
    </row>
    <row r="48" spans="1:6" x14ac:dyDescent="0.3">
      <c r="A48" t="s">
        <v>469</v>
      </c>
      <c r="B48" t="s">
        <v>468</v>
      </c>
      <c r="C48" t="s">
        <v>329</v>
      </c>
      <c r="D48">
        <v>7619570802</v>
      </c>
      <c r="E48" t="s">
        <v>315</v>
      </c>
      <c r="F48" s="2" t="str">
        <f t="shared" si="0"/>
        <v>("CX-047","Neha Thakur","Chandigarh","7619570802","Regular"),</v>
      </c>
    </row>
    <row r="49" spans="1:6" x14ac:dyDescent="0.3">
      <c r="A49" t="s">
        <v>467</v>
      </c>
      <c r="B49" t="s">
        <v>466</v>
      </c>
      <c r="C49" t="s">
        <v>329</v>
      </c>
      <c r="D49">
        <v>7887350590</v>
      </c>
      <c r="E49" t="s">
        <v>325</v>
      </c>
      <c r="F49" s="2" t="str">
        <f t="shared" si="0"/>
        <v>("CX-048","Simran Singh","Chandigarh","7887350590","Premium"),</v>
      </c>
    </row>
    <row r="50" spans="1:6" x14ac:dyDescent="0.3">
      <c r="A50" t="s">
        <v>465</v>
      </c>
      <c r="B50" t="s">
        <v>321</v>
      </c>
      <c r="C50" t="s">
        <v>340</v>
      </c>
      <c r="D50">
        <v>6789211935</v>
      </c>
      <c r="E50" t="s">
        <v>345</v>
      </c>
      <c r="F50" s="2" t="str">
        <f t="shared" si="0"/>
        <v>("CX-049","Vikram Saxena","Mumbai","6789211935","Retail"),</v>
      </c>
    </row>
    <row r="51" spans="1:6" x14ac:dyDescent="0.3">
      <c r="A51" t="s">
        <v>464</v>
      </c>
      <c r="B51" t="s">
        <v>463</v>
      </c>
      <c r="C51" t="s">
        <v>329</v>
      </c>
      <c r="D51">
        <v>7220736073</v>
      </c>
      <c r="E51" t="s">
        <v>315</v>
      </c>
      <c r="F51" s="2" t="str">
        <f t="shared" si="0"/>
        <v>("CX-050","Rohit Yadav","Chandigarh","7220736073","Regular"),</v>
      </c>
    </row>
    <row r="52" spans="1:6" x14ac:dyDescent="0.3">
      <c r="A52" t="s">
        <v>462</v>
      </c>
      <c r="B52" t="s">
        <v>461</v>
      </c>
      <c r="C52" t="s">
        <v>385</v>
      </c>
      <c r="D52">
        <v>8336884034</v>
      </c>
      <c r="E52" t="s">
        <v>315</v>
      </c>
      <c r="F52" s="2" t="str">
        <f t="shared" si="0"/>
        <v>("CX-051","Anita Dubey","Chennai","8336884034","Regular"),</v>
      </c>
    </row>
    <row r="53" spans="1:6" x14ac:dyDescent="0.3">
      <c r="A53" t="s">
        <v>460</v>
      </c>
      <c r="B53" t="s">
        <v>459</v>
      </c>
      <c r="C53" t="s">
        <v>316</v>
      </c>
      <c r="D53">
        <v>8556007901</v>
      </c>
      <c r="E53" t="s">
        <v>319</v>
      </c>
      <c r="F53" s="2" t="str">
        <f t="shared" si="0"/>
        <v>("CX-052","Pooja Chopra","Lucknow","8556007901","Wholesale"),</v>
      </c>
    </row>
    <row r="54" spans="1:6" x14ac:dyDescent="0.3">
      <c r="A54" t="s">
        <v>458</v>
      </c>
      <c r="B54" t="s">
        <v>457</v>
      </c>
      <c r="C54" t="s">
        <v>329</v>
      </c>
      <c r="D54">
        <v>8125589091</v>
      </c>
      <c r="E54" t="s">
        <v>345</v>
      </c>
      <c r="F54" s="2" t="str">
        <f t="shared" si="0"/>
        <v>("CX-053","Arjun Verma","Chandigarh","8125589091","Retail"),</v>
      </c>
    </row>
    <row r="55" spans="1:6" x14ac:dyDescent="0.3">
      <c r="A55" t="s">
        <v>456</v>
      </c>
      <c r="B55" t="s">
        <v>455</v>
      </c>
      <c r="C55" t="s">
        <v>320</v>
      </c>
      <c r="D55">
        <v>8971414003</v>
      </c>
      <c r="E55" t="s">
        <v>325</v>
      </c>
      <c r="F55" s="2" t="str">
        <f t="shared" si="0"/>
        <v>("CX-054","Meena Mishra","Pune","8971414003","Premium"),</v>
      </c>
    </row>
    <row r="56" spans="1:6" x14ac:dyDescent="0.3">
      <c r="A56" t="s">
        <v>454</v>
      </c>
      <c r="B56" t="s">
        <v>453</v>
      </c>
      <c r="C56" t="s">
        <v>320</v>
      </c>
      <c r="D56">
        <v>9620704280</v>
      </c>
      <c r="E56" t="s">
        <v>332</v>
      </c>
      <c r="F56" s="2" t="str">
        <f t="shared" si="0"/>
        <v>("CX-055","Rahul Jain","Pune","9620704280","Online"),</v>
      </c>
    </row>
    <row r="57" spans="1:6" x14ac:dyDescent="0.3">
      <c r="A57" t="s">
        <v>452</v>
      </c>
      <c r="B57" t="s">
        <v>451</v>
      </c>
      <c r="C57" t="s">
        <v>320</v>
      </c>
      <c r="D57">
        <v>8869766687</v>
      </c>
      <c r="E57" t="s">
        <v>332</v>
      </c>
      <c r="F57" s="2" t="str">
        <f t="shared" si="0"/>
        <v>("CX-056","Simran Mishra","Pune","8869766687","Online"),</v>
      </c>
    </row>
    <row r="58" spans="1:6" x14ac:dyDescent="0.3">
      <c r="A58" t="s">
        <v>450</v>
      </c>
      <c r="B58" t="s">
        <v>449</v>
      </c>
      <c r="C58" t="s">
        <v>333</v>
      </c>
      <c r="D58">
        <v>7606868018</v>
      </c>
      <c r="E58" t="s">
        <v>332</v>
      </c>
      <c r="F58" s="2" t="str">
        <f t="shared" si="0"/>
        <v>("CX-057","Vikram Khan","Jaipur","7606868018","Online"),</v>
      </c>
    </row>
    <row r="59" spans="1:6" x14ac:dyDescent="0.3">
      <c r="A59" t="s">
        <v>448</v>
      </c>
      <c r="B59" t="s">
        <v>406</v>
      </c>
      <c r="C59" t="s">
        <v>333</v>
      </c>
      <c r="D59">
        <v>7837457212</v>
      </c>
      <c r="E59" t="s">
        <v>325</v>
      </c>
      <c r="F59" s="2" t="str">
        <f t="shared" si="0"/>
        <v>("CX-058","Neha Malhotra","Jaipur","7837457212","Premium"),</v>
      </c>
    </row>
    <row r="60" spans="1:6" x14ac:dyDescent="0.3">
      <c r="A60" t="s">
        <v>447</v>
      </c>
      <c r="B60" t="s">
        <v>446</v>
      </c>
      <c r="C60" t="s">
        <v>320</v>
      </c>
      <c r="D60">
        <v>8280932245</v>
      </c>
      <c r="E60" t="s">
        <v>345</v>
      </c>
      <c r="F60" s="2" t="str">
        <f t="shared" si="0"/>
        <v>("CX-059","Kavita Dubey","Pune","8280932245","Retail"),</v>
      </c>
    </row>
    <row r="61" spans="1:6" x14ac:dyDescent="0.3">
      <c r="A61" t="s">
        <v>445</v>
      </c>
      <c r="B61" t="s">
        <v>444</v>
      </c>
      <c r="C61" t="s">
        <v>375</v>
      </c>
      <c r="D61">
        <v>6268454444</v>
      </c>
      <c r="E61" t="s">
        <v>319</v>
      </c>
      <c r="F61" s="2" t="str">
        <f t="shared" si="0"/>
        <v>("CX-060","Neha Rana","Kolkata","6268454444","Wholesale"),</v>
      </c>
    </row>
    <row r="62" spans="1:6" x14ac:dyDescent="0.3">
      <c r="A62" t="s">
        <v>443</v>
      </c>
      <c r="B62" t="s">
        <v>442</v>
      </c>
      <c r="C62" t="s">
        <v>353</v>
      </c>
      <c r="D62">
        <v>7486123101</v>
      </c>
      <c r="E62" t="s">
        <v>325</v>
      </c>
      <c r="F62" s="2" t="str">
        <f t="shared" si="0"/>
        <v>("CX-061","Pooja Malhotra","Hyderabad","7486123101","Premium"),</v>
      </c>
    </row>
    <row r="63" spans="1:6" x14ac:dyDescent="0.3">
      <c r="A63" t="s">
        <v>441</v>
      </c>
      <c r="B63" t="s">
        <v>440</v>
      </c>
      <c r="C63" t="s">
        <v>375</v>
      </c>
      <c r="D63">
        <v>8057573832</v>
      </c>
      <c r="E63" t="s">
        <v>332</v>
      </c>
      <c r="F63" s="2" t="str">
        <f t="shared" si="0"/>
        <v>("CX-062","Rohit Singh","Kolkata","8057573832","Online"),</v>
      </c>
    </row>
    <row r="64" spans="1:6" x14ac:dyDescent="0.3">
      <c r="A64" t="s">
        <v>439</v>
      </c>
      <c r="B64" t="s">
        <v>438</v>
      </c>
      <c r="C64" t="s">
        <v>346</v>
      </c>
      <c r="D64">
        <v>7433592202</v>
      </c>
      <c r="E64" t="s">
        <v>319</v>
      </c>
      <c r="F64" s="2" t="str">
        <f t="shared" si="0"/>
        <v>("CX-063","Priya Mishra","Delhi","7433592202","Wholesale"),</v>
      </c>
    </row>
    <row r="65" spans="1:6" x14ac:dyDescent="0.3">
      <c r="A65" t="s">
        <v>437</v>
      </c>
      <c r="B65" t="s">
        <v>434</v>
      </c>
      <c r="C65" t="s">
        <v>375</v>
      </c>
      <c r="D65">
        <v>8737111113</v>
      </c>
      <c r="E65" t="s">
        <v>325</v>
      </c>
      <c r="F65" s="2" t="str">
        <f t="shared" si="0"/>
        <v>("CX-064","Amit Chopra","Kolkata","8737111113","Premium"),</v>
      </c>
    </row>
    <row r="66" spans="1:6" x14ac:dyDescent="0.3">
      <c r="A66" t="s">
        <v>436</v>
      </c>
      <c r="B66" t="s">
        <v>377</v>
      </c>
      <c r="C66" t="s">
        <v>375</v>
      </c>
      <c r="D66">
        <v>6219522377</v>
      </c>
      <c r="E66" t="s">
        <v>345</v>
      </c>
      <c r="F66" s="2" t="str">
        <f t="shared" si="0"/>
        <v>("CX-065","Rahul Singh","Kolkata","6219522377","Retail"),</v>
      </c>
    </row>
    <row r="67" spans="1:6" x14ac:dyDescent="0.3">
      <c r="A67" t="s">
        <v>435</v>
      </c>
      <c r="B67" t="s">
        <v>434</v>
      </c>
      <c r="C67" t="s">
        <v>375</v>
      </c>
      <c r="D67">
        <v>9476874316</v>
      </c>
      <c r="E67" t="s">
        <v>319</v>
      </c>
      <c r="F67" s="2" t="str">
        <f t="shared" ref="F67:F121" si="1">"("""&amp;A67&amp;""","""&amp;B67&amp;""","""&amp;C67&amp;""","""&amp;D67&amp;""","""&amp;E67&amp;"""),"</f>
        <v>("CX-066","Amit Chopra","Kolkata","9476874316","Wholesale"),</v>
      </c>
    </row>
    <row r="68" spans="1:6" x14ac:dyDescent="0.3">
      <c r="A68" t="s">
        <v>433</v>
      </c>
      <c r="B68" t="s">
        <v>432</v>
      </c>
      <c r="C68" t="s">
        <v>333</v>
      </c>
      <c r="D68">
        <v>7518916319</v>
      </c>
      <c r="E68" t="s">
        <v>315</v>
      </c>
      <c r="F68" s="2" t="str">
        <f t="shared" si="1"/>
        <v>("CX-067","Ravi Agarwal","Jaipur","7518916319","Regular"),</v>
      </c>
    </row>
    <row r="69" spans="1:6" x14ac:dyDescent="0.3">
      <c r="A69" t="s">
        <v>431</v>
      </c>
      <c r="B69" t="s">
        <v>430</v>
      </c>
      <c r="C69" t="s">
        <v>333</v>
      </c>
      <c r="D69">
        <v>9845434148</v>
      </c>
      <c r="E69" t="s">
        <v>332</v>
      </c>
      <c r="F69" s="2" t="str">
        <f t="shared" si="1"/>
        <v>("CX-068","Anjali Rana","Jaipur","9845434148","Online"),</v>
      </c>
    </row>
    <row r="70" spans="1:6" x14ac:dyDescent="0.3">
      <c r="A70" t="s">
        <v>429</v>
      </c>
      <c r="B70" t="s">
        <v>428</v>
      </c>
      <c r="C70" t="s">
        <v>329</v>
      </c>
      <c r="D70">
        <v>6055300576</v>
      </c>
      <c r="E70" t="s">
        <v>315</v>
      </c>
      <c r="F70" s="2" t="str">
        <f t="shared" si="1"/>
        <v>("CX-069","Sneha Malhotra","Chandigarh","6055300576","Regular"),</v>
      </c>
    </row>
    <row r="71" spans="1:6" x14ac:dyDescent="0.3">
      <c r="A71" t="s">
        <v>427</v>
      </c>
      <c r="B71" t="s">
        <v>351</v>
      </c>
      <c r="C71" t="s">
        <v>329</v>
      </c>
      <c r="D71">
        <v>7204454800</v>
      </c>
      <c r="E71" t="s">
        <v>319</v>
      </c>
      <c r="F71" s="2" t="str">
        <f t="shared" si="1"/>
        <v>("CX-070","Anjali Singh","Chandigarh","7204454800","Wholesale"),</v>
      </c>
    </row>
    <row r="72" spans="1:6" x14ac:dyDescent="0.3">
      <c r="A72" t="s">
        <v>426</v>
      </c>
      <c r="B72" t="s">
        <v>425</v>
      </c>
      <c r="C72" t="s">
        <v>346</v>
      </c>
      <c r="D72">
        <v>7009080985</v>
      </c>
      <c r="E72" t="s">
        <v>315</v>
      </c>
      <c r="F72" s="2" t="str">
        <f t="shared" si="1"/>
        <v>("CX-071","Karan Verma","Delhi","7009080985","Regular"),</v>
      </c>
    </row>
    <row r="73" spans="1:6" x14ac:dyDescent="0.3">
      <c r="A73" t="s">
        <v>424</v>
      </c>
      <c r="B73" t="s">
        <v>423</v>
      </c>
      <c r="C73" t="s">
        <v>333</v>
      </c>
      <c r="D73">
        <v>6241173068</v>
      </c>
      <c r="E73" t="s">
        <v>332</v>
      </c>
      <c r="F73" s="2" t="str">
        <f t="shared" si="1"/>
        <v>("CX-072","Manish Khan","Jaipur","6241173068","Online"),</v>
      </c>
    </row>
    <row r="74" spans="1:6" x14ac:dyDescent="0.3">
      <c r="A74" t="s">
        <v>422</v>
      </c>
      <c r="B74" t="s">
        <v>421</v>
      </c>
      <c r="C74" t="s">
        <v>329</v>
      </c>
      <c r="D74">
        <v>9244411844</v>
      </c>
      <c r="E74" t="s">
        <v>319</v>
      </c>
      <c r="F74" s="2" t="str">
        <f t="shared" si="1"/>
        <v>("CX-073","Sneha Dubey","Chandigarh","9244411844","Wholesale"),</v>
      </c>
    </row>
    <row r="75" spans="1:6" x14ac:dyDescent="0.3">
      <c r="A75" t="s">
        <v>420</v>
      </c>
      <c r="B75" t="s">
        <v>419</v>
      </c>
      <c r="C75" t="s">
        <v>353</v>
      </c>
      <c r="D75">
        <v>6240017144</v>
      </c>
      <c r="E75" t="s">
        <v>345</v>
      </c>
      <c r="F75" s="2" t="str">
        <f t="shared" si="1"/>
        <v>("CX-074","Anjali Yadav","Hyderabad","6240017144","Retail"),</v>
      </c>
    </row>
    <row r="76" spans="1:6" x14ac:dyDescent="0.3">
      <c r="A76" t="s">
        <v>418</v>
      </c>
      <c r="B76" t="s">
        <v>417</v>
      </c>
      <c r="C76" t="s">
        <v>316</v>
      </c>
      <c r="D76">
        <v>9231406431</v>
      </c>
      <c r="E76" t="s">
        <v>315</v>
      </c>
      <c r="F76" s="2" t="str">
        <f t="shared" si="1"/>
        <v>("CX-075","Sanjay Sharma","Lucknow","9231406431","Regular"),</v>
      </c>
    </row>
    <row r="77" spans="1:6" x14ac:dyDescent="0.3">
      <c r="A77" t="s">
        <v>416</v>
      </c>
      <c r="B77" t="s">
        <v>415</v>
      </c>
      <c r="C77" t="s">
        <v>316</v>
      </c>
      <c r="D77">
        <v>9820756928</v>
      </c>
      <c r="E77" t="s">
        <v>315</v>
      </c>
      <c r="F77" s="2" t="str">
        <f t="shared" si="1"/>
        <v>("CX-076","Vikram Rana","Lucknow","9820756928","Regular"),</v>
      </c>
    </row>
    <row r="78" spans="1:6" x14ac:dyDescent="0.3">
      <c r="A78" t="s">
        <v>414</v>
      </c>
      <c r="B78" t="s">
        <v>413</v>
      </c>
      <c r="C78" t="s">
        <v>333</v>
      </c>
      <c r="D78">
        <v>8320421570</v>
      </c>
      <c r="E78" t="s">
        <v>319</v>
      </c>
      <c r="F78" s="2" t="str">
        <f t="shared" si="1"/>
        <v>("CX-077","Anita Verma","Jaipur","8320421570","Wholesale"),</v>
      </c>
    </row>
    <row r="79" spans="1:6" x14ac:dyDescent="0.3">
      <c r="A79" t="s">
        <v>412</v>
      </c>
      <c r="B79" t="s">
        <v>411</v>
      </c>
      <c r="C79" t="s">
        <v>385</v>
      </c>
      <c r="D79">
        <v>6054418372</v>
      </c>
      <c r="E79" t="s">
        <v>319</v>
      </c>
      <c r="F79" s="2" t="str">
        <f t="shared" si="1"/>
        <v>("CX-078","Amit Rana","Chennai","6054418372","Wholesale"),</v>
      </c>
    </row>
    <row r="80" spans="1:6" x14ac:dyDescent="0.3">
      <c r="A80" t="s">
        <v>410</v>
      </c>
      <c r="B80" t="s">
        <v>409</v>
      </c>
      <c r="C80" t="s">
        <v>333</v>
      </c>
      <c r="D80">
        <v>8192705100</v>
      </c>
      <c r="E80" t="s">
        <v>332</v>
      </c>
      <c r="F80" s="2" t="str">
        <f t="shared" si="1"/>
        <v>("CX-079","Vikram Agarwal","Jaipur","8192705100","Online"),</v>
      </c>
    </row>
    <row r="81" spans="1:6" x14ac:dyDescent="0.3">
      <c r="A81" t="s">
        <v>408</v>
      </c>
      <c r="B81" t="s">
        <v>341</v>
      </c>
      <c r="C81" t="s">
        <v>320</v>
      </c>
      <c r="D81">
        <v>8383635537</v>
      </c>
      <c r="E81" t="s">
        <v>315</v>
      </c>
      <c r="F81" s="2" t="str">
        <f t="shared" si="1"/>
        <v>("CX-080","Rohit Thakur","Pune","8383635537","Regular"),</v>
      </c>
    </row>
    <row r="82" spans="1:6" x14ac:dyDescent="0.3">
      <c r="A82" t="s">
        <v>407</v>
      </c>
      <c r="B82" t="s">
        <v>406</v>
      </c>
      <c r="C82" t="s">
        <v>320</v>
      </c>
      <c r="D82">
        <v>8367872321</v>
      </c>
      <c r="E82" t="s">
        <v>325</v>
      </c>
      <c r="F82" s="2" t="str">
        <f t="shared" si="1"/>
        <v>("CX-081","Neha Malhotra","Pune","8367872321","Premium"),</v>
      </c>
    </row>
    <row r="83" spans="1:6" x14ac:dyDescent="0.3">
      <c r="A83" t="s">
        <v>405</v>
      </c>
      <c r="B83" t="s">
        <v>404</v>
      </c>
      <c r="C83" t="s">
        <v>375</v>
      </c>
      <c r="D83">
        <v>9054293522</v>
      </c>
      <c r="E83" t="s">
        <v>345</v>
      </c>
      <c r="F83" s="2" t="str">
        <f t="shared" si="1"/>
        <v>("CX-082","Pooja Gupta","Kolkata","9054293522","Retail"),</v>
      </c>
    </row>
    <row r="84" spans="1:6" x14ac:dyDescent="0.3">
      <c r="A84" t="s">
        <v>403</v>
      </c>
      <c r="B84" t="s">
        <v>402</v>
      </c>
      <c r="C84" t="s">
        <v>346</v>
      </c>
      <c r="D84">
        <v>6742759987</v>
      </c>
      <c r="E84" t="s">
        <v>325</v>
      </c>
      <c r="F84" s="2" t="str">
        <f t="shared" si="1"/>
        <v>("CX-083","Rohit Joshi","Delhi","6742759987","Premium"),</v>
      </c>
    </row>
    <row r="85" spans="1:6" x14ac:dyDescent="0.3">
      <c r="A85" t="s">
        <v>401</v>
      </c>
      <c r="B85" t="s">
        <v>400</v>
      </c>
      <c r="C85" t="s">
        <v>326</v>
      </c>
      <c r="D85">
        <v>7691823265</v>
      </c>
      <c r="E85" t="s">
        <v>325</v>
      </c>
      <c r="F85" s="2" t="str">
        <f t="shared" si="1"/>
        <v>("CX-084","Amit Singh","Bengaluru","7691823265","Premium"),</v>
      </c>
    </row>
    <row r="86" spans="1:6" x14ac:dyDescent="0.3">
      <c r="A86" t="s">
        <v>399</v>
      </c>
      <c r="B86" t="s">
        <v>398</v>
      </c>
      <c r="C86" t="s">
        <v>353</v>
      </c>
      <c r="D86">
        <v>9483378108</v>
      </c>
      <c r="E86" t="s">
        <v>315</v>
      </c>
      <c r="F86" s="2" t="str">
        <f t="shared" si="1"/>
        <v>("CX-085","Rahul Saxena","Hyderabad","9483378108","Regular"),</v>
      </c>
    </row>
    <row r="87" spans="1:6" x14ac:dyDescent="0.3">
      <c r="A87" t="s">
        <v>397</v>
      </c>
      <c r="B87" t="s">
        <v>396</v>
      </c>
      <c r="C87" t="s">
        <v>326</v>
      </c>
      <c r="D87">
        <v>6563787580</v>
      </c>
      <c r="E87" t="s">
        <v>345</v>
      </c>
      <c r="F87" s="2" t="str">
        <f t="shared" si="1"/>
        <v>("CX-086","Vikram Bansal","Bengaluru","6563787580","Retail"),</v>
      </c>
    </row>
    <row r="88" spans="1:6" x14ac:dyDescent="0.3">
      <c r="A88" t="s">
        <v>395</v>
      </c>
      <c r="B88" t="s">
        <v>394</v>
      </c>
      <c r="C88" t="s">
        <v>333</v>
      </c>
      <c r="D88">
        <v>8163956426</v>
      </c>
      <c r="E88" t="s">
        <v>345</v>
      </c>
      <c r="F88" s="2" t="str">
        <f t="shared" si="1"/>
        <v>("CX-087","Anita Chopra","Jaipur","8163956426","Retail"),</v>
      </c>
    </row>
    <row r="89" spans="1:6" x14ac:dyDescent="0.3">
      <c r="A89" t="s">
        <v>393</v>
      </c>
      <c r="B89" t="s">
        <v>392</v>
      </c>
      <c r="C89" t="s">
        <v>340</v>
      </c>
      <c r="D89">
        <v>6018570441</v>
      </c>
      <c r="E89" t="s">
        <v>332</v>
      </c>
      <c r="F89" s="2" t="str">
        <f t="shared" si="1"/>
        <v>("CX-088","Karan Rajput","Mumbai","6018570441","Online"),</v>
      </c>
    </row>
    <row r="90" spans="1:6" x14ac:dyDescent="0.3">
      <c r="A90" t="s">
        <v>391</v>
      </c>
      <c r="B90" t="s">
        <v>390</v>
      </c>
      <c r="C90" t="s">
        <v>316</v>
      </c>
      <c r="D90">
        <v>6689151089</v>
      </c>
      <c r="E90" t="s">
        <v>315</v>
      </c>
      <c r="F90" s="2" t="str">
        <f t="shared" si="1"/>
        <v>("CX-089","Sneha Chopra","Lucknow","6689151089","Regular"),</v>
      </c>
    </row>
    <row r="91" spans="1:6" x14ac:dyDescent="0.3">
      <c r="A91" t="s">
        <v>389</v>
      </c>
      <c r="B91" t="s">
        <v>388</v>
      </c>
      <c r="C91" t="s">
        <v>316</v>
      </c>
      <c r="D91">
        <v>6243131308</v>
      </c>
      <c r="E91" t="s">
        <v>345</v>
      </c>
      <c r="F91" s="2" t="str">
        <f t="shared" si="1"/>
        <v>("CX-090","Raj Rajput","Lucknow","6243131308","Retail"),</v>
      </c>
    </row>
    <row r="92" spans="1:6" x14ac:dyDescent="0.3">
      <c r="A92" t="s">
        <v>387</v>
      </c>
      <c r="B92" t="s">
        <v>386</v>
      </c>
      <c r="C92" t="s">
        <v>385</v>
      </c>
      <c r="D92">
        <v>9154636914</v>
      </c>
      <c r="E92" t="s">
        <v>315</v>
      </c>
      <c r="F92" s="2" t="str">
        <f t="shared" si="1"/>
        <v>("CX-091","Arjun Patel","Chennai","9154636914","Regular"),</v>
      </c>
    </row>
    <row r="93" spans="1:6" x14ac:dyDescent="0.3">
      <c r="A93" t="s">
        <v>384</v>
      </c>
      <c r="B93" t="s">
        <v>383</v>
      </c>
      <c r="C93" t="s">
        <v>353</v>
      </c>
      <c r="D93">
        <v>9238479551</v>
      </c>
      <c r="E93" t="s">
        <v>315</v>
      </c>
      <c r="F93" s="2" t="str">
        <f t="shared" si="1"/>
        <v>("CX-092","Meena Singh","Hyderabad","9238479551","Regular"),</v>
      </c>
    </row>
    <row r="94" spans="1:6" x14ac:dyDescent="0.3">
      <c r="A94" t="s">
        <v>382</v>
      </c>
      <c r="B94" t="s">
        <v>381</v>
      </c>
      <c r="C94" t="s">
        <v>333</v>
      </c>
      <c r="D94">
        <v>9918020723</v>
      </c>
      <c r="E94" t="s">
        <v>319</v>
      </c>
      <c r="F94" s="2" t="str">
        <f t="shared" si="1"/>
        <v>("CX-093","Priya Saxena","Jaipur","9918020723","Wholesale"),</v>
      </c>
    </row>
    <row r="95" spans="1:6" x14ac:dyDescent="0.3">
      <c r="A95" t="s">
        <v>380</v>
      </c>
      <c r="B95" t="s">
        <v>379</v>
      </c>
      <c r="C95" t="s">
        <v>320</v>
      </c>
      <c r="D95">
        <v>9912155322</v>
      </c>
      <c r="E95" t="s">
        <v>325</v>
      </c>
      <c r="F95" s="2" t="str">
        <f t="shared" si="1"/>
        <v>("CX-094","Manish Chopra","Pune","9912155322","Premium"),</v>
      </c>
    </row>
    <row r="96" spans="1:6" x14ac:dyDescent="0.3">
      <c r="A96" t="s">
        <v>378</v>
      </c>
      <c r="B96" t="s">
        <v>377</v>
      </c>
      <c r="C96" t="s">
        <v>320</v>
      </c>
      <c r="D96">
        <v>6555512262</v>
      </c>
      <c r="E96" t="s">
        <v>315</v>
      </c>
      <c r="F96" s="2" t="str">
        <f t="shared" si="1"/>
        <v>("CX-095","Rahul Singh","Pune","6555512262","Regular"),</v>
      </c>
    </row>
    <row r="97" spans="1:6" x14ac:dyDescent="0.3">
      <c r="A97" t="s">
        <v>376</v>
      </c>
      <c r="B97" t="s">
        <v>317</v>
      </c>
      <c r="C97" t="s">
        <v>375</v>
      </c>
      <c r="D97">
        <v>7928197622</v>
      </c>
      <c r="E97" t="s">
        <v>319</v>
      </c>
      <c r="F97" s="2" t="str">
        <f t="shared" si="1"/>
        <v>("CX-096","Arjun Gupta","Kolkata","7928197622","Wholesale"),</v>
      </c>
    </row>
    <row r="98" spans="1:6" x14ac:dyDescent="0.3">
      <c r="A98" t="s">
        <v>374</v>
      </c>
      <c r="B98" t="s">
        <v>373</v>
      </c>
      <c r="C98" t="s">
        <v>320</v>
      </c>
      <c r="D98">
        <v>8000651578</v>
      </c>
      <c r="E98" t="s">
        <v>315</v>
      </c>
      <c r="F98" s="2" t="str">
        <f t="shared" si="1"/>
        <v>("CX-097","Karan Khan","Pune","8000651578","Regular"),</v>
      </c>
    </row>
    <row r="99" spans="1:6" x14ac:dyDescent="0.3">
      <c r="A99" t="s">
        <v>372</v>
      </c>
      <c r="B99" t="s">
        <v>371</v>
      </c>
      <c r="C99" t="s">
        <v>320</v>
      </c>
      <c r="D99">
        <v>6543596638</v>
      </c>
      <c r="E99" t="s">
        <v>319</v>
      </c>
      <c r="F99" s="2" t="str">
        <f t="shared" si="1"/>
        <v>("CX-098","Amit Yadav","Pune","6543596638","Wholesale"),</v>
      </c>
    </row>
    <row r="100" spans="1:6" x14ac:dyDescent="0.3">
      <c r="A100" t="s">
        <v>370</v>
      </c>
      <c r="B100" t="s">
        <v>369</v>
      </c>
      <c r="C100" t="s">
        <v>340</v>
      </c>
      <c r="D100">
        <v>8631837511</v>
      </c>
      <c r="E100" t="s">
        <v>325</v>
      </c>
      <c r="F100" s="2" t="str">
        <f t="shared" si="1"/>
        <v>("CX-099","Anita Mishra","Mumbai","8631837511","Premium"),</v>
      </c>
    </row>
    <row r="101" spans="1:6" x14ac:dyDescent="0.3">
      <c r="A101" t="s">
        <v>368</v>
      </c>
      <c r="B101" t="s">
        <v>367</v>
      </c>
      <c r="C101" t="s">
        <v>316</v>
      </c>
      <c r="D101">
        <v>9728701109</v>
      </c>
      <c r="E101" t="s">
        <v>332</v>
      </c>
      <c r="F101" s="2" t="str">
        <f t="shared" si="1"/>
        <v>("CX-100","Anita Khan","Lucknow","9728701109","Online"),</v>
      </c>
    </row>
    <row r="102" spans="1:6" x14ac:dyDescent="0.3">
      <c r="A102" t="s">
        <v>366</v>
      </c>
      <c r="B102" t="s">
        <v>365</v>
      </c>
      <c r="C102" t="s">
        <v>340</v>
      </c>
      <c r="D102">
        <v>8111264744</v>
      </c>
      <c r="E102" t="s">
        <v>315</v>
      </c>
      <c r="F102" s="2" t="str">
        <f t="shared" si="1"/>
        <v>("CX-101","Rohit Agarwal","Mumbai","8111264744","Regular"),</v>
      </c>
    </row>
    <row r="103" spans="1:6" x14ac:dyDescent="0.3">
      <c r="A103" t="s">
        <v>364</v>
      </c>
      <c r="B103" t="s">
        <v>363</v>
      </c>
      <c r="C103" t="s">
        <v>346</v>
      </c>
      <c r="D103">
        <v>6231694380</v>
      </c>
      <c r="E103" t="s">
        <v>325</v>
      </c>
      <c r="F103" s="2" t="str">
        <f t="shared" si="1"/>
        <v>("CX-102","Rohit Mishra","Delhi","6231694380","Premium"),</v>
      </c>
    </row>
    <row r="104" spans="1:6" x14ac:dyDescent="0.3">
      <c r="A104" t="s">
        <v>362</v>
      </c>
      <c r="B104" t="s">
        <v>361</v>
      </c>
      <c r="C104" t="s">
        <v>340</v>
      </c>
      <c r="D104">
        <v>9177209990</v>
      </c>
      <c r="E104" t="s">
        <v>325</v>
      </c>
      <c r="F104" s="2" t="str">
        <f t="shared" si="1"/>
        <v>("CX-103","Pooja Khan","Mumbai","9177209990","Premium"),</v>
      </c>
    </row>
    <row r="105" spans="1:6" x14ac:dyDescent="0.3">
      <c r="A105" t="s">
        <v>360</v>
      </c>
      <c r="B105" t="s">
        <v>359</v>
      </c>
      <c r="C105" t="s">
        <v>320</v>
      </c>
      <c r="D105">
        <v>6385604600</v>
      </c>
      <c r="E105" t="s">
        <v>315</v>
      </c>
      <c r="F105" s="2" t="str">
        <f t="shared" si="1"/>
        <v>("CX-104","Priya Yadav","Pune","6385604600","Regular"),</v>
      </c>
    </row>
    <row r="106" spans="1:6" x14ac:dyDescent="0.3">
      <c r="A106" t="s">
        <v>358</v>
      </c>
      <c r="B106" t="s">
        <v>357</v>
      </c>
      <c r="C106" t="s">
        <v>340</v>
      </c>
      <c r="D106">
        <v>6129760372</v>
      </c>
      <c r="E106" t="s">
        <v>319</v>
      </c>
      <c r="F106" s="2" t="str">
        <f t="shared" si="1"/>
        <v>("CX-105","Meena Agarwal","Mumbai","6129760372","Wholesale"),</v>
      </c>
    </row>
    <row r="107" spans="1:6" x14ac:dyDescent="0.3">
      <c r="A107" t="s">
        <v>356</v>
      </c>
      <c r="B107" t="s">
        <v>355</v>
      </c>
      <c r="C107" t="s">
        <v>340</v>
      </c>
      <c r="D107">
        <v>7676177907</v>
      </c>
      <c r="E107" t="s">
        <v>345</v>
      </c>
      <c r="F107" s="2" t="str">
        <f t="shared" si="1"/>
        <v>("CX-106","Simran Sharma","Mumbai","7676177907","Retail"),</v>
      </c>
    </row>
    <row r="108" spans="1:6" x14ac:dyDescent="0.3">
      <c r="A108" t="s">
        <v>354</v>
      </c>
      <c r="B108" t="s">
        <v>330</v>
      </c>
      <c r="C108" t="s">
        <v>353</v>
      </c>
      <c r="D108">
        <v>7947373331</v>
      </c>
      <c r="E108" t="s">
        <v>325</v>
      </c>
      <c r="F108" s="2" t="str">
        <f t="shared" si="1"/>
        <v>("CX-107","Sneha Jain","Hyderabad","7947373331","Premium"),</v>
      </c>
    </row>
    <row r="109" spans="1:6" x14ac:dyDescent="0.3">
      <c r="A109" t="s">
        <v>352</v>
      </c>
      <c r="B109" t="s">
        <v>351</v>
      </c>
      <c r="C109" t="s">
        <v>316</v>
      </c>
      <c r="D109">
        <v>6800285485</v>
      </c>
      <c r="E109" t="s">
        <v>332</v>
      </c>
      <c r="F109" s="2" t="str">
        <f t="shared" si="1"/>
        <v>("CX-108","Anjali Singh","Lucknow","6800285485","Online"),</v>
      </c>
    </row>
    <row r="110" spans="1:6" x14ac:dyDescent="0.3">
      <c r="A110" t="s">
        <v>350</v>
      </c>
      <c r="B110" t="s">
        <v>349</v>
      </c>
      <c r="C110" t="s">
        <v>326</v>
      </c>
      <c r="D110">
        <v>9567286062</v>
      </c>
      <c r="E110" t="s">
        <v>332</v>
      </c>
      <c r="F110" s="2" t="str">
        <f t="shared" si="1"/>
        <v>("CX-109","Rahul Yadav","Bengaluru","9567286062","Online"),</v>
      </c>
    </row>
    <row r="111" spans="1:6" x14ac:dyDescent="0.3">
      <c r="A111" t="s">
        <v>348</v>
      </c>
      <c r="B111" t="s">
        <v>347</v>
      </c>
      <c r="C111" t="s">
        <v>346</v>
      </c>
      <c r="D111">
        <v>6594211634</v>
      </c>
      <c r="E111" t="s">
        <v>345</v>
      </c>
      <c r="F111" s="2" t="str">
        <f t="shared" si="1"/>
        <v>("CX-110","Manish Malhotra","Delhi","6594211634","Retail"),</v>
      </c>
    </row>
    <row r="112" spans="1:6" x14ac:dyDescent="0.3">
      <c r="A112" t="s">
        <v>344</v>
      </c>
      <c r="B112" t="s">
        <v>343</v>
      </c>
      <c r="C112" t="s">
        <v>320</v>
      </c>
      <c r="D112">
        <v>6052707503</v>
      </c>
      <c r="E112" t="s">
        <v>332</v>
      </c>
      <c r="F112" s="2" t="str">
        <f t="shared" si="1"/>
        <v>("CX-111","Kavita Patel","Pune","6052707503","Online"),</v>
      </c>
    </row>
    <row r="113" spans="1:6" x14ac:dyDescent="0.3">
      <c r="A113" t="s">
        <v>342</v>
      </c>
      <c r="B113" t="s">
        <v>341</v>
      </c>
      <c r="C113" t="s">
        <v>340</v>
      </c>
      <c r="D113">
        <v>8982346066</v>
      </c>
      <c r="E113" t="s">
        <v>319</v>
      </c>
      <c r="F113" s="2" t="str">
        <f t="shared" si="1"/>
        <v>("CX-112","Rohit Thakur","Mumbai","8982346066","Wholesale"),</v>
      </c>
    </row>
    <row r="114" spans="1:6" x14ac:dyDescent="0.3">
      <c r="A114" t="s">
        <v>339</v>
      </c>
      <c r="B114" t="s">
        <v>338</v>
      </c>
      <c r="C114" t="s">
        <v>320</v>
      </c>
      <c r="D114">
        <v>7562041672</v>
      </c>
      <c r="E114" t="s">
        <v>319</v>
      </c>
      <c r="F114" s="2" t="str">
        <f t="shared" si="1"/>
        <v>("CX-113","Amit Sharma","Pune","7562041672","Wholesale"),</v>
      </c>
    </row>
    <row r="115" spans="1:6" x14ac:dyDescent="0.3">
      <c r="A115" t="s">
        <v>337</v>
      </c>
      <c r="B115" t="s">
        <v>336</v>
      </c>
      <c r="C115" t="s">
        <v>326</v>
      </c>
      <c r="D115">
        <v>7799010863</v>
      </c>
      <c r="E115" t="s">
        <v>315</v>
      </c>
      <c r="F115" s="2" t="str">
        <f t="shared" si="1"/>
        <v>("CX-114","Neha Patel","Bengaluru","7799010863","Regular"),</v>
      </c>
    </row>
    <row r="116" spans="1:6" x14ac:dyDescent="0.3">
      <c r="A116" t="s">
        <v>335</v>
      </c>
      <c r="B116" t="s">
        <v>334</v>
      </c>
      <c r="C116" t="s">
        <v>333</v>
      </c>
      <c r="D116">
        <v>6834502612</v>
      </c>
      <c r="E116" t="s">
        <v>332</v>
      </c>
      <c r="F116" s="2" t="str">
        <f t="shared" si="1"/>
        <v>("CX-115","Rahul Thakur","Jaipur","6834502612","Online"),</v>
      </c>
    </row>
    <row r="117" spans="1:6" x14ac:dyDescent="0.3">
      <c r="A117" t="s">
        <v>331</v>
      </c>
      <c r="B117" t="s">
        <v>330</v>
      </c>
      <c r="C117" t="s">
        <v>329</v>
      </c>
      <c r="D117">
        <v>9213029820</v>
      </c>
      <c r="E117" t="s">
        <v>315</v>
      </c>
      <c r="F117" s="2" t="str">
        <f t="shared" si="1"/>
        <v>("CX-116","Sneha Jain","Chandigarh","9213029820","Regular"),</v>
      </c>
    </row>
    <row r="118" spans="1:6" x14ac:dyDescent="0.3">
      <c r="A118" t="s">
        <v>328</v>
      </c>
      <c r="B118" t="s">
        <v>327</v>
      </c>
      <c r="C118" t="s">
        <v>326</v>
      </c>
      <c r="D118">
        <v>7407274950</v>
      </c>
      <c r="E118" t="s">
        <v>325</v>
      </c>
      <c r="F118" s="2" t="str">
        <f t="shared" si="1"/>
        <v>("CX-117","Vikram Chopra","Bengaluru","7407274950","Premium"),</v>
      </c>
    </row>
    <row r="119" spans="1:6" x14ac:dyDescent="0.3">
      <c r="A119" t="s">
        <v>324</v>
      </c>
      <c r="B119" t="s">
        <v>323</v>
      </c>
      <c r="C119" t="s">
        <v>320</v>
      </c>
      <c r="D119">
        <v>7909006959</v>
      </c>
      <c r="E119" t="s">
        <v>315</v>
      </c>
      <c r="F119" s="2" t="str">
        <f t="shared" si="1"/>
        <v>("CX-118","Kavita Yadav","Pune","7909006959","Regular"),</v>
      </c>
    </row>
    <row r="120" spans="1:6" x14ac:dyDescent="0.3">
      <c r="A120" t="s">
        <v>322</v>
      </c>
      <c r="B120" t="s">
        <v>321</v>
      </c>
      <c r="C120" t="s">
        <v>320</v>
      </c>
      <c r="D120">
        <v>9338871313</v>
      </c>
      <c r="E120" t="s">
        <v>319</v>
      </c>
      <c r="F120" s="2" t="str">
        <f t="shared" si="1"/>
        <v>("CX-119","Vikram Saxena","Pune","9338871313","Wholesale"),</v>
      </c>
    </row>
    <row r="121" spans="1:6" x14ac:dyDescent="0.3">
      <c r="A121" t="s">
        <v>318</v>
      </c>
      <c r="B121" t="s">
        <v>317</v>
      </c>
      <c r="C121" t="s">
        <v>316</v>
      </c>
      <c r="D121">
        <v>6821541714</v>
      </c>
      <c r="E121" t="s">
        <v>315</v>
      </c>
      <c r="F121" s="2" t="str">
        <f t="shared" si="1"/>
        <v>("CX-120","Arjun Gupta","Lucknow","6821541714","Regular"),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2BF4-9067-44E0-9773-2649475AD97D}">
  <dimension ref="A1:P1001"/>
  <sheetViews>
    <sheetView tabSelected="1" workbookViewId="0">
      <selection activeCell="Q6" sqref="Q6"/>
    </sheetView>
  </sheetViews>
  <sheetFormatPr defaultRowHeight="14.4" x14ac:dyDescent="0.3"/>
  <cols>
    <col min="1" max="1" width="12.6640625" bestFit="1" customWidth="1"/>
    <col min="2" max="2" width="10.33203125" style="5" bestFit="1" customWidth="1"/>
    <col min="3" max="3" width="13.109375" bestFit="1" customWidth="1"/>
    <col min="4" max="4" width="10.88671875" bestFit="1" customWidth="1"/>
    <col min="5" max="5" width="8.33203125" bestFit="1" customWidth="1"/>
    <col min="6" max="6" width="12.109375" bestFit="1" customWidth="1"/>
    <col min="7" max="7" width="13.6640625" bestFit="1" customWidth="1"/>
    <col min="16" max="16" width="10.33203125" bestFit="1" customWidth="1"/>
  </cols>
  <sheetData>
    <row r="1" spans="1:16" x14ac:dyDescent="0.3">
      <c r="A1" s="3" t="s">
        <v>1568</v>
      </c>
      <c r="B1" s="6" t="s">
        <v>1569</v>
      </c>
      <c r="C1" s="3" t="s">
        <v>1570</v>
      </c>
      <c r="D1" s="3" t="s">
        <v>1571</v>
      </c>
      <c r="E1" s="3" t="s">
        <v>561</v>
      </c>
      <c r="F1" s="3" t="s">
        <v>1567</v>
      </c>
      <c r="G1" s="3" t="s">
        <v>1572</v>
      </c>
    </row>
    <row r="2" spans="1:16" x14ac:dyDescent="0.3">
      <c r="A2" s="2" t="s">
        <v>562</v>
      </c>
      <c r="B2" s="5" t="s">
        <v>1573</v>
      </c>
      <c r="C2" s="2" t="s">
        <v>69</v>
      </c>
      <c r="D2" s="2" t="s">
        <v>350</v>
      </c>
      <c r="E2" s="2">
        <v>3</v>
      </c>
      <c r="F2" s="2">
        <v>45909</v>
      </c>
      <c r="G2" s="2" t="s">
        <v>563</v>
      </c>
      <c r="H2" t="str">
        <f>"("""&amp;A2&amp;""","""&amp;B2&amp;""","""&amp;C2&amp;""","""&amp;D2&amp;""","&amp;E2&amp;","&amp;F2&amp;","""&amp;G2&amp;"""),"</f>
        <v>("ORD-00001","2025-08-13","FAS-KID-068","CX-109",3,45909,"Cash"),</v>
      </c>
      <c r="P2" s="4"/>
    </row>
    <row r="3" spans="1:16" x14ac:dyDescent="0.3">
      <c r="A3" s="2" t="s">
        <v>564</v>
      </c>
      <c r="B3" s="5" t="s">
        <v>1574</v>
      </c>
      <c r="C3" s="2" t="s">
        <v>118</v>
      </c>
      <c r="D3" s="2" t="s">
        <v>364</v>
      </c>
      <c r="E3" s="2">
        <v>5</v>
      </c>
      <c r="F3" s="2">
        <v>14495</v>
      </c>
      <c r="G3" s="2" t="s">
        <v>565</v>
      </c>
      <c r="H3" s="2" t="str">
        <f t="shared" ref="H3:H66" si="0">"("""&amp;A3&amp;""","""&amp;B3&amp;""","""&amp;C3&amp;""","""&amp;D3&amp;""","&amp;E3&amp;","&amp;F3&amp;","""&amp;G3&amp;"""),"</f>
        <v>("ORD-00002","2024-12-22","HOM-FUR-117","CX-102",5,14495,"NetBanking"),</v>
      </c>
      <c r="N3" s="2"/>
      <c r="P3" s="4"/>
    </row>
    <row r="4" spans="1:16" x14ac:dyDescent="0.3">
      <c r="A4" s="2" t="s">
        <v>566</v>
      </c>
      <c r="B4" s="5" t="s">
        <v>1575</v>
      </c>
      <c r="C4" s="2" t="s">
        <v>11</v>
      </c>
      <c r="D4" s="2" t="s">
        <v>412</v>
      </c>
      <c r="E4" s="2">
        <v>5</v>
      </c>
      <c r="F4" s="2">
        <v>9520</v>
      </c>
      <c r="G4" s="2" t="s">
        <v>567</v>
      </c>
      <c r="H4" s="2" t="str">
        <f t="shared" si="0"/>
        <v>("ORD-00003","2025-10-21","ELE-MOB-010","CX-078",5,9520,"Wallet"),</v>
      </c>
      <c r="N4" s="2"/>
      <c r="P4" s="4"/>
    </row>
    <row r="5" spans="1:16" x14ac:dyDescent="0.3">
      <c r="A5" s="2" t="s">
        <v>568</v>
      </c>
      <c r="B5" s="5" t="s">
        <v>1576</v>
      </c>
      <c r="C5" s="2" t="s">
        <v>94</v>
      </c>
      <c r="D5" s="2" t="s">
        <v>547</v>
      </c>
      <c r="E5" s="2">
        <v>5</v>
      </c>
      <c r="F5" s="2">
        <v>146340</v>
      </c>
      <c r="G5" s="2" t="s">
        <v>565</v>
      </c>
      <c r="H5" s="2" t="str">
        <f t="shared" si="0"/>
        <v>("ORD-00004","2025-07-24","HOM-DEC-093","CX-005",5,146340,"NetBanking"),</v>
      </c>
      <c r="N5" s="2"/>
      <c r="P5" s="4"/>
    </row>
    <row r="6" spans="1:16" x14ac:dyDescent="0.3">
      <c r="A6" s="2" t="s">
        <v>569</v>
      </c>
      <c r="B6" s="5" t="s">
        <v>1577</v>
      </c>
      <c r="C6" s="2" t="s">
        <v>21</v>
      </c>
      <c r="D6" s="2" t="s">
        <v>450</v>
      </c>
      <c r="E6" s="2">
        <v>2</v>
      </c>
      <c r="F6" s="2">
        <v>24010</v>
      </c>
      <c r="G6" s="2" t="s">
        <v>570</v>
      </c>
      <c r="H6" s="2" t="str">
        <f t="shared" si="0"/>
        <v>("ORD-00005","2025-03-25","ELE-LAP-020","CX-057",2,24010,"UPI"),</v>
      </c>
      <c r="N6" s="2"/>
      <c r="P6" s="4"/>
    </row>
    <row r="7" spans="1:16" x14ac:dyDescent="0.3">
      <c r="A7" s="2" t="s">
        <v>571</v>
      </c>
      <c r="B7" s="5" t="s">
        <v>1578</v>
      </c>
      <c r="C7" s="2" t="s">
        <v>145</v>
      </c>
      <c r="D7" s="2" t="s">
        <v>401</v>
      </c>
      <c r="E7" s="2">
        <v>3</v>
      </c>
      <c r="F7" s="2">
        <v>99510</v>
      </c>
      <c r="G7" s="2" t="s">
        <v>572</v>
      </c>
      <c r="H7" s="2" t="str">
        <f t="shared" si="0"/>
        <v>("ORD-00006","2025-09-20","SPO-IND-144","CX-084",3,99510,"Card"),</v>
      </c>
      <c r="N7" s="2"/>
      <c r="P7" s="4"/>
    </row>
    <row r="8" spans="1:16" x14ac:dyDescent="0.3">
      <c r="A8" s="2" t="s">
        <v>573</v>
      </c>
      <c r="B8" s="5" t="s">
        <v>1579</v>
      </c>
      <c r="C8" s="2" t="s">
        <v>117</v>
      </c>
      <c r="D8" s="2" t="s">
        <v>467</v>
      </c>
      <c r="E8" s="2">
        <v>1</v>
      </c>
      <c r="F8" s="2">
        <v>56787</v>
      </c>
      <c r="G8" s="2" t="s">
        <v>563</v>
      </c>
      <c r="H8" s="2" t="str">
        <f t="shared" si="0"/>
        <v>("ORD-00007","2025-03-02","HOM-FUR-116","CX-048",1,56787,"Cash"),</v>
      </c>
      <c r="N8" s="2"/>
      <c r="P8" s="4"/>
    </row>
    <row r="9" spans="1:16" x14ac:dyDescent="0.3">
      <c r="A9" s="2" t="s">
        <v>574</v>
      </c>
      <c r="B9" s="5" t="s">
        <v>1580</v>
      </c>
      <c r="C9" s="2" t="s">
        <v>185</v>
      </c>
      <c r="D9" s="2" t="s">
        <v>405</v>
      </c>
      <c r="E9" s="2">
        <v>4</v>
      </c>
      <c r="F9" s="2">
        <v>73808</v>
      </c>
      <c r="G9" s="2" t="s">
        <v>565</v>
      </c>
      <c r="H9" s="2" t="str">
        <f t="shared" si="0"/>
        <v>("ORD-00008","2025-11-19","BEA-MAK-184","CX-082",4,73808,"NetBanking"),</v>
      </c>
      <c r="N9" s="2"/>
      <c r="P9" s="4"/>
    </row>
    <row r="10" spans="1:16" x14ac:dyDescent="0.3">
      <c r="A10" s="2" t="s">
        <v>575</v>
      </c>
      <c r="B10" s="5" t="s">
        <v>1581</v>
      </c>
      <c r="C10" s="2" t="s">
        <v>108</v>
      </c>
      <c r="D10" s="2" t="s">
        <v>408</v>
      </c>
      <c r="E10" s="2">
        <v>5</v>
      </c>
      <c r="F10" s="2">
        <v>216370</v>
      </c>
      <c r="G10" s="2" t="s">
        <v>570</v>
      </c>
      <c r="H10" s="2" t="str">
        <f t="shared" si="0"/>
        <v>("ORD-00009","2025-07-28","HOM-APP-107","CX-080",5,216370,"UPI"),</v>
      </c>
      <c r="N10" s="2"/>
      <c r="P10" s="4"/>
    </row>
    <row r="11" spans="1:16" x14ac:dyDescent="0.3">
      <c r="A11" s="2" t="s">
        <v>576</v>
      </c>
      <c r="B11" s="5" t="s">
        <v>1576</v>
      </c>
      <c r="C11" s="2" t="s">
        <v>194</v>
      </c>
      <c r="D11" s="2" t="s">
        <v>505</v>
      </c>
      <c r="E11" s="2">
        <v>5</v>
      </c>
      <c r="F11" s="2">
        <v>148110</v>
      </c>
      <c r="G11" s="2" t="s">
        <v>563</v>
      </c>
      <c r="H11" s="2" t="str">
        <f t="shared" si="0"/>
        <v>("ORD-00010","2025-07-24","BEA-FRA-193","CX-028",5,148110,"Cash"),</v>
      </c>
      <c r="N11" s="2"/>
      <c r="P11" s="4"/>
    </row>
    <row r="12" spans="1:16" x14ac:dyDescent="0.3">
      <c r="A12" s="2" t="s">
        <v>577</v>
      </c>
      <c r="B12" s="5" t="s">
        <v>1582</v>
      </c>
      <c r="C12" s="2" t="s">
        <v>52</v>
      </c>
      <c r="D12" s="2" t="s">
        <v>477</v>
      </c>
      <c r="E12" s="2">
        <v>4</v>
      </c>
      <c r="F12" s="2">
        <v>25384</v>
      </c>
      <c r="G12" s="2" t="s">
        <v>572</v>
      </c>
      <c r="H12" s="2" t="str">
        <f t="shared" si="0"/>
        <v>("ORD-00011","2025-09-19","FAS-WOM-051","CX-043",4,25384,"Card"),</v>
      </c>
      <c r="N12" s="2"/>
      <c r="P12" s="4"/>
    </row>
    <row r="13" spans="1:16" x14ac:dyDescent="0.3">
      <c r="A13" s="2" t="s">
        <v>578</v>
      </c>
      <c r="B13" s="5" t="s">
        <v>1583</v>
      </c>
      <c r="C13" s="2" t="s">
        <v>96</v>
      </c>
      <c r="D13" s="2" t="s">
        <v>541</v>
      </c>
      <c r="E13" s="2">
        <v>4</v>
      </c>
      <c r="F13" s="2">
        <v>64592</v>
      </c>
      <c r="G13" s="2" t="s">
        <v>572</v>
      </c>
      <c r="H13" s="2" t="str">
        <f t="shared" si="0"/>
        <v>("ORD-00012","2025-08-28","HOM-DEC-095","CX-009",4,64592,"Card"),</v>
      </c>
      <c r="N13" s="2"/>
      <c r="P13" s="4"/>
    </row>
    <row r="14" spans="1:16" x14ac:dyDescent="0.3">
      <c r="A14" s="2" t="s">
        <v>579</v>
      </c>
      <c r="B14" s="5" t="s">
        <v>1584</v>
      </c>
      <c r="C14" s="2" t="s">
        <v>180</v>
      </c>
      <c r="D14" s="2" t="s">
        <v>555</v>
      </c>
      <c r="E14" s="2">
        <v>2</v>
      </c>
      <c r="F14" s="2">
        <v>79552</v>
      </c>
      <c r="G14" s="2" t="s">
        <v>570</v>
      </c>
      <c r="H14" s="2" t="str">
        <f t="shared" si="0"/>
        <v>("ORD-00013","2025-08-06","BEA-HAI-179","CX-001",2,79552,"UPI"),</v>
      </c>
      <c r="N14" s="2"/>
      <c r="P14" s="4"/>
    </row>
    <row r="15" spans="1:16" x14ac:dyDescent="0.3">
      <c r="A15" s="2" t="s">
        <v>580</v>
      </c>
      <c r="B15" s="5" t="s">
        <v>1585</v>
      </c>
      <c r="C15" s="2" t="s">
        <v>36</v>
      </c>
      <c r="D15" s="2" t="s">
        <v>551</v>
      </c>
      <c r="E15" s="2">
        <v>3</v>
      </c>
      <c r="F15" s="2">
        <v>74226</v>
      </c>
      <c r="G15" s="2" t="s">
        <v>570</v>
      </c>
      <c r="H15" s="2" t="str">
        <f t="shared" si="0"/>
        <v>("ORD-00014","2025-01-08","ELE-CAM-035","CX-003",3,74226,"UPI"),</v>
      </c>
      <c r="N15" s="2"/>
      <c r="P15" s="4"/>
    </row>
    <row r="16" spans="1:16" x14ac:dyDescent="0.3">
      <c r="A16" s="2" t="s">
        <v>581</v>
      </c>
      <c r="B16" s="5" t="s">
        <v>1586</v>
      </c>
      <c r="C16" s="2" t="s">
        <v>25</v>
      </c>
      <c r="D16" s="2" t="s">
        <v>503</v>
      </c>
      <c r="E16" s="2">
        <v>3</v>
      </c>
      <c r="F16" s="2">
        <v>20925</v>
      </c>
      <c r="G16" s="2" t="s">
        <v>565</v>
      </c>
      <c r="H16" s="2" t="str">
        <f t="shared" si="0"/>
        <v>("ORD-00015","2025-07-02","ELE-ACC-024","CX-029",3,20925,"NetBanking"),</v>
      </c>
      <c r="N16" s="2"/>
      <c r="P16" s="4"/>
    </row>
    <row r="17" spans="1:16" x14ac:dyDescent="0.3">
      <c r="A17" s="2" t="s">
        <v>582</v>
      </c>
      <c r="B17" s="5" t="s">
        <v>1587</v>
      </c>
      <c r="C17" s="2" t="s">
        <v>197</v>
      </c>
      <c r="D17" s="2" t="s">
        <v>362</v>
      </c>
      <c r="E17" s="2">
        <v>1</v>
      </c>
      <c r="F17" s="2">
        <v>51973</v>
      </c>
      <c r="G17" s="2" t="s">
        <v>572</v>
      </c>
      <c r="H17" s="2" t="str">
        <f t="shared" si="0"/>
        <v>("ORD-00016","2025-06-21","BEA-FRA-196","CX-103",1,51973,"Card"),</v>
      </c>
      <c r="N17" s="2"/>
      <c r="P17" s="4"/>
    </row>
    <row r="18" spans="1:16" x14ac:dyDescent="0.3">
      <c r="A18" s="2" t="s">
        <v>583</v>
      </c>
      <c r="B18" s="5" t="s">
        <v>1588</v>
      </c>
      <c r="C18" s="2" t="s">
        <v>149</v>
      </c>
      <c r="D18" s="2" t="s">
        <v>416</v>
      </c>
      <c r="E18" s="2">
        <v>4</v>
      </c>
      <c r="F18" s="2">
        <v>41528</v>
      </c>
      <c r="G18" s="2" t="s">
        <v>570</v>
      </c>
      <c r="H18" s="2" t="str">
        <f t="shared" si="0"/>
        <v>("ORD-00017","2025-08-21","SPO-IND-148","CX-076",4,41528,"UPI"),</v>
      </c>
      <c r="N18" s="2"/>
      <c r="P18" s="4"/>
    </row>
    <row r="19" spans="1:16" x14ac:dyDescent="0.3">
      <c r="A19" s="2" t="s">
        <v>584</v>
      </c>
      <c r="B19" s="5" t="s">
        <v>1589</v>
      </c>
      <c r="C19" s="2" t="s">
        <v>181</v>
      </c>
      <c r="D19" s="2" t="s">
        <v>462</v>
      </c>
      <c r="E19" s="2">
        <v>4</v>
      </c>
      <c r="F19" s="2">
        <v>82208</v>
      </c>
      <c r="G19" s="2" t="s">
        <v>567</v>
      </c>
      <c r="H19" s="2" t="str">
        <f t="shared" si="0"/>
        <v>("ORD-00018","2025-01-23","BEA-HAI-180","CX-051",4,82208,"Wallet"),</v>
      </c>
      <c r="N19" s="2"/>
      <c r="P19" s="4"/>
    </row>
    <row r="20" spans="1:16" x14ac:dyDescent="0.3">
      <c r="A20" s="2" t="s">
        <v>585</v>
      </c>
      <c r="B20" s="5" t="s">
        <v>1590</v>
      </c>
      <c r="C20" s="2" t="s">
        <v>132</v>
      </c>
      <c r="D20" s="2" t="s">
        <v>523</v>
      </c>
      <c r="E20" s="2">
        <v>5</v>
      </c>
      <c r="F20" s="2">
        <v>287650</v>
      </c>
      <c r="G20" s="2" t="s">
        <v>565</v>
      </c>
      <c r="H20" s="2" t="str">
        <f t="shared" si="0"/>
        <v>("ORD-00019","2025-02-12","SPO-OUT-131","CX-018",5,287650,"NetBanking"),</v>
      </c>
      <c r="N20" s="2"/>
      <c r="P20" s="4"/>
    </row>
    <row r="21" spans="1:16" x14ac:dyDescent="0.3">
      <c r="A21" s="2" t="s">
        <v>586</v>
      </c>
      <c r="B21" s="5" t="s">
        <v>1591</v>
      </c>
      <c r="C21" s="2" t="s">
        <v>172</v>
      </c>
      <c r="D21" s="2" t="s">
        <v>426</v>
      </c>
      <c r="E21" s="2">
        <v>1</v>
      </c>
      <c r="F21" s="2">
        <v>58133</v>
      </c>
      <c r="G21" s="2" t="s">
        <v>572</v>
      </c>
      <c r="H21" s="2" t="str">
        <f t="shared" si="0"/>
        <v>("ORD-00020","2025-09-30","BEA-HAI-171","CX-071",1,58133,"Card"),</v>
      </c>
      <c r="N21" s="2"/>
      <c r="P21" s="4"/>
    </row>
    <row r="22" spans="1:16" x14ac:dyDescent="0.3">
      <c r="A22" s="2" t="s">
        <v>587</v>
      </c>
      <c r="B22" s="5" t="s">
        <v>1592</v>
      </c>
      <c r="C22" s="2" t="s">
        <v>55</v>
      </c>
      <c r="D22" s="2" t="s">
        <v>420</v>
      </c>
      <c r="E22" s="2">
        <v>5</v>
      </c>
      <c r="F22" s="2">
        <v>18770</v>
      </c>
      <c r="G22" s="2" t="s">
        <v>572</v>
      </c>
      <c r="H22" s="2" t="str">
        <f t="shared" si="0"/>
        <v>("ORD-00021","2025-04-16","FAS-WOM-054","CX-074",5,18770,"Card"),</v>
      </c>
      <c r="N22" s="2"/>
      <c r="P22" s="4"/>
    </row>
    <row r="23" spans="1:16" x14ac:dyDescent="0.3">
      <c r="A23" s="2" t="s">
        <v>588</v>
      </c>
      <c r="B23" s="5" t="s">
        <v>1593</v>
      </c>
      <c r="C23" s="2" t="s">
        <v>12</v>
      </c>
      <c r="D23" s="2" t="s">
        <v>539</v>
      </c>
      <c r="E23" s="2">
        <v>4</v>
      </c>
      <c r="F23" s="2">
        <v>174580</v>
      </c>
      <c r="G23" s="2" t="s">
        <v>567</v>
      </c>
      <c r="H23" s="2" t="str">
        <f t="shared" si="0"/>
        <v>("ORD-00022","2025-07-26","ELE-LAP-011","CX-010",4,174580,"Wallet"),</v>
      </c>
      <c r="N23" s="2"/>
      <c r="P23" s="4"/>
    </row>
    <row r="24" spans="1:16" x14ac:dyDescent="0.3">
      <c r="A24" s="2" t="s">
        <v>589</v>
      </c>
      <c r="B24" s="5" t="s">
        <v>1594</v>
      </c>
      <c r="C24" s="2" t="s">
        <v>200</v>
      </c>
      <c r="D24" s="2" t="s">
        <v>443</v>
      </c>
      <c r="E24" s="2">
        <v>1</v>
      </c>
      <c r="F24" s="2">
        <v>6734</v>
      </c>
      <c r="G24" s="2" t="s">
        <v>570</v>
      </c>
      <c r="H24" s="2" t="str">
        <f t="shared" si="0"/>
        <v>("ORD-00023","2025-05-16","BEA-FRA-199","CX-061",1,6734,"UPI"),</v>
      </c>
      <c r="N24" s="2"/>
      <c r="P24" s="4"/>
    </row>
    <row r="25" spans="1:16" x14ac:dyDescent="0.3">
      <c r="A25" s="2" t="s">
        <v>590</v>
      </c>
      <c r="B25" s="5" t="s">
        <v>1595</v>
      </c>
      <c r="C25" s="2" t="s">
        <v>24</v>
      </c>
      <c r="D25" s="2" t="s">
        <v>531</v>
      </c>
      <c r="E25" s="2">
        <v>3</v>
      </c>
      <c r="F25" s="2">
        <v>121827</v>
      </c>
      <c r="G25" s="2" t="s">
        <v>570</v>
      </c>
      <c r="H25" s="2" t="str">
        <f t="shared" si="0"/>
        <v>("ORD-00024","2025-04-26","ELE-ACC-023","CX-014",3,121827,"UPI"),</v>
      </c>
      <c r="N25" s="2"/>
      <c r="P25" s="4"/>
    </row>
    <row r="26" spans="1:16" x14ac:dyDescent="0.3">
      <c r="A26" s="2" t="s">
        <v>591</v>
      </c>
      <c r="B26" s="5" t="s">
        <v>1596</v>
      </c>
      <c r="C26" s="2" t="s">
        <v>99</v>
      </c>
      <c r="D26" s="2" t="s">
        <v>531</v>
      </c>
      <c r="E26" s="2">
        <v>1</v>
      </c>
      <c r="F26" s="2">
        <v>33206</v>
      </c>
      <c r="G26" s="2" t="s">
        <v>570</v>
      </c>
      <c r="H26" s="2" t="str">
        <f t="shared" si="0"/>
        <v>("ORD-00025","2025-09-11","HOM-DEC-098","CX-014",1,33206,"UPI"),</v>
      </c>
      <c r="N26" s="2"/>
      <c r="P26" s="4"/>
    </row>
    <row r="27" spans="1:16" x14ac:dyDescent="0.3">
      <c r="A27" s="2" t="s">
        <v>592</v>
      </c>
      <c r="B27" s="5" t="s">
        <v>1597</v>
      </c>
      <c r="C27" s="2" t="s">
        <v>193</v>
      </c>
      <c r="D27" s="2" t="s">
        <v>401</v>
      </c>
      <c r="E27" s="2">
        <v>5</v>
      </c>
      <c r="F27" s="2">
        <v>181955</v>
      </c>
      <c r="G27" s="2" t="s">
        <v>565</v>
      </c>
      <c r="H27" s="2" t="str">
        <f t="shared" si="0"/>
        <v>("ORD-00026","2025-05-17","BEA-FRA-192","CX-084",5,181955,"NetBanking"),</v>
      </c>
      <c r="N27" s="2"/>
      <c r="P27" s="4"/>
    </row>
    <row r="28" spans="1:16" x14ac:dyDescent="0.3">
      <c r="A28" s="2" t="s">
        <v>593</v>
      </c>
      <c r="B28" s="5" t="s">
        <v>1598</v>
      </c>
      <c r="C28" s="2" t="s">
        <v>190</v>
      </c>
      <c r="D28" s="2" t="s">
        <v>535</v>
      </c>
      <c r="E28" s="2">
        <v>3</v>
      </c>
      <c r="F28" s="2">
        <v>23679</v>
      </c>
      <c r="G28" s="2" t="s">
        <v>565</v>
      </c>
      <c r="H28" s="2" t="str">
        <f t="shared" si="0"/>
        <v>("ORD-00027","2025-01-27","BEA-MAK-189","CX-012",3,23679,"NetBanking"),</v>
      </c>
      <c r="N28" s="2"/>
      <c r="P28" s="4"/>
    </row>
    <row r="29" spans="1:16" x14ac:dyDescent="0.3">
      <c r="A29" s="2" t="s">
        <v>594</v>
      </c>
      <c r="B29" s="5" t="s">
        <v>1599</v>
      </c>
      <c r="C29" s="2" t="s">
        <v>149</v>
      </c>
      <c r="D29" s="2" t="s">
        <v>527</v>
      </c>
      <c r="E29" s="2">
        <v>4</v>
      </c>
      <c r="F29" s="2">
        <v>41528</v>
      </c>
      <c r="G29" s="2" t="s">
        <v>565</v>
      </c>
      <c r="H29" s="2" t="str">
        <f t="shared" si="0"/>
        <v>("ORD-00028","2025-05-26","SPO-IND-148","CX-016",4,41528,"NetBanking"),</v>
      </c>
      <c r="N29" s="2"/>
      <c r="P29" s="4"/>
    </row>
    <row r="30" spans="1:16" x14ac:dyDescent="0.3">
      <c r="A30" s="2" t="s">
        <v>595</v>
      </c>
      <c r="B30" s="5" t="s">
        <v>1600</v>
      </c>
      <c r="C30" s="2" t="s">
        <v>119</v>
      </c>
      <c r="D30" s="2" t="s">
        <v>436</v>
      </c>
      <c r="E30" s="2">
        <v>2</v>
      </c>
      <c r="F30" s="2">
        <v>19584</v>
      </c>
      <c r="G30" s="2" t="s">
        <v>563</v>
      </c>
      <c r="H30" s="2" t="str">
        <f t="shared" si="0"/>
        <v>("ORD-00029","2025-03-10","HOM-FUR-118","CX-065",2,19584,"Cash"),</v>
      </c>
      <c r="N30" s="2"/>
      <c r="P30" s="4"/>
    </row>
    <row r="31" spans="1:16" x14ac:dyDescent="0.3">
      <c r="A31" s="2" t="s">
        <v>596</v>
      </c>
      <c r="B31" s="5" t="s">
        <v>1601</v>
      </c>
      <c r="C31" s="2" t="s">
        <v>14</v>
      </c>
      <c r="D31" s="2" t="s">
        <v>513</v>
      </c>
      <c r="E31" s="2">
        <v>1</v>
      </c>
      <c r="F31" s="2">
        <v>35320</v>
      </c>
      <c r="G31" s="2" t="s">
        <v>563</v>
      </c>
      <c r="H31" s="2" t="str">
        <f t="shared" si="0"/>
        <v>("ORD-00030","2025-08-22","ELE-LAP-013","CX-024",1,35320,"Cash"),</v>
      </c>
      <c r="N31" s="2"/>
      <c r="P31" s="4"/>
    </row>
    <row r="32" spans="1:16" x14ac:dyDescent="0.3">
      <c r="A32" s="2" t="s">
        <v>597</v>
      </c>
      <c r="B32" s="5" t="s">
        <v>1602</v>
      </c>
      <c r="C32" s="2" t="s">
        <v>67</v>
      </c>
      <c r="D32" s="2" t="s">
        <v>393</v>
      </c>
      <c r="E32" s="2">
        <v>5</v>
      </c>
      <c r="F32" s="2">
        <v>293740</v>
      </c>
      <c r="G32" s="2" t="s">
        <v>565</v>
      </c>
      <c r="H32" s="2" t="str">
        <f t="shared" si="0"/>
        <v>("ORD-00031","2025-02-05","FAS-KID-066","CX-088",5,293740,"NetBanking"),</v>
      </c>
      <c r="N32" s="2"/>
      <c r="P32" s="4"/>
    </row>
    <row r="33" spans="1:16" x14ac:dyDescent="0.3">
      <c r="A33" s="2" t="s">
        <v>598</v>
      </c>
      <c r="B33" s="5" t="s">
        <v>1603</v>
      </c>
      <c r="C33" s="2" t="s">
        <v>68</v>
      </c>
      <c r="D33" s="2" t="s">
        <v>397</v>
      </c>
      <c r="E33" s="2">
        <v>5</v>
      </c>
      <c r="F33" s="2">
        <v>283875</v>
      </c>
      <c r="G33" s="2" t="s">
        <v>565</v>
      </c>
      <c r="H33" s="2" t="str">
        <f t="shared" si="0"/>
        <v>("ORD-00032","2025-09-03","FAS-KID-067","CX-086",5,283875,"NetBanking"),</v>
      </c>
      <c r="N33" s="2"/>
      <c r="P33" s="4"/>
    </row>
    <row r="34" spans="1:16" x14ac:dyDescent="0.3">
      <c r="A34" s="2" t="s">
        <v>599</v>
      </c>
      <c r="B34" s="5" t="s">
        <v>1604</v>
      </c>
      <c r="C34" s="2" t="s">
        <v>193</v>
      </c>
      <c r="D34" s="2" t="s">
        <v>426</v>
      </c>
      <c r="E34" s="2">
        <v>1</v>
      </c>
      <c r="F34" s="2">
        <v>36391</v>
      </c>
      <c r="G34" s="2" t="s">
        <v>572</v>
      </c>
      <c r="H34" s="2" t="str">
        <f t="shared" si="0"/>
        <v>("ORD-00033","2025-07-05","BEA-FRA-192","CX-071",1,36391,"Card"),</v>
      </c>
      <c r="N34" s="2"/>
      <c r="P34" s="4"/>
    </row>
    <row r="35" spans="1:16" x14ac:dyDescent="0.3">
      <c r="A35" s="2" t="s">
        <v>600</v>
      </c>
      <c r="B35" s="5" t="s">
        <v>1582</v>
      </c>
      <c r="C35" s="2" t="s">
        <v>129</v>
      </c>
      <c r="D35" s="2" t="s">
        <v>418</v>
      </c>
      <c r="E35" s="2">
        <v>2</v>
      </c>
      <c r="F35" s="2">
        <v>16406</v>
      </c>
      <c r="G35" s="2" t="s">
        <v>572</v>
      </c>
      <c r="H35" s="2" t="str">
        <f t="shared" si="0"/>
        <v>("ORD-00034","2025-09-19","SPO-FIT-128","CX-075",2,16406,"Card"),</v>
      </c>
      <c r="N35" s="2"/>
      <c r="P35" s="4"/>
    </row>
    <row r="36" spans="1:16" x14ac:dyDescent="0.3">
      <c r="A36" s="2" t="s">
        <v>601</v>
      </c>
      <c r="B36" s="5" t="s">
        <v>1605</v>
      </c>
      <c r="C36" s="2" t="s">
        <v>22</v>
      </c>
      <c r="D36" s="2" t="s">
        <v>469</v>
      </c>
      <c r="E36" s="2">
        <v>5</v>
      </c>
      <c r="F36" s="2">
        <v>204860</v>
      </c>
      <c r="G36" s="2" t="s">
        <v>565</v>
      </c>
      <c r="H36" s="2" t="str">
        <f t="shared" si="0"/>
        <v>("ORD-00035","2025-08-16","ELE-ACC-021","CX-047",5,204860,"NetBanking"),</v>
      </c>
      <c r="N36" s="2"/>
      <c r="P36" s="4"/>
    </row>
    <row r="37" spans="1:16" x14ac:dyDescent="0.3">
      <c r="A37" s="2" t="s">
        <v>602</v>
      </c>
      <c r="B37" s="5" t="s">
        <v>1606</v>
      </c>
      <c r="C37" s="2" t="s">
        <v>197</v>
      </c>
      <c r="D37" s="2" t="s">
        <v>462</v>
      </c>
      <c r="E37" s="2">
        <v>1</v>
      </c>
      <c r="F37" s="2">
        <v>51973</v>
      </c>
      <c r="G37" s="2" t="s">
        <v>563</v>
      </c>
      <c r="H37" s="2" t="str">
        <f t="shared" si="0"/>
        <v>("ORD-00036","2025-06-12","BEA-FRA-196","CX-051",1,51973,"Cash"),</v>
      </c>
      <c r="N37" s="2"/>
      <c r="P37" s="4"/>
    </row>
    <row r="38" spans="1:16" x14ac:dyDescent="0.3">
      <c r="A38" s="2" t="s">
        <v>603</v>
      </c>
      <c r="B38" s="5" t="s">
        <v>1607</v>
      </c>
      <c r="C38" s="2" t="s">
        <v>174</v>
      </c>
      <c r="D38" s="2" t="s">
        <v>518</v>
      </c>
      <c r="E38" s="2">
        <v>1</v>
      </c>
      <c r="F38" s="2">
        <v>39003</v>
      </c>
      <c r="G38" s="2" t="s">
        <v>570</v>
      </c>
      <c r="H38" s="2" t="str">
        <f t="shared" si="0"/>
        <v>("ORD-00037","2024-12-21","BEA-HAI-173","CX-021",1,39003,"UPI"),</v>
      </c>
      <c r="N38" s="2"/>
      <c r="P38" s="4"/>
    </row>
    <row r="39" spans="1:16" x14ac:dyDescent="0.3">
      <c r="A39" s="2" t="s">
        <v>604</v>
      </c>
      <c r="B39" s="5" t="s">
        <v>1608</v>
      </c>
      <c r="C39" s="2" t="s">
        <v>117</v>
      </c>
      <c r="D39" s="2" t="s">
        <v>378</v>
      </c>
      <c r="E39" s="2">
        <v>5</v>
      </c>
      <c r="F39" s="2">
        <v>283935</v>
      </c>
      <c r="G39" s="2" t="s">
        <v>570</v>
      </c>
      <c r="H39" s="2" t="str">
        <f t="shared" si="0"/>
        <v>("ORD-00038","2025-10-28","HOM-FUR-116","CX-095",5,283935,"UPI"),</v>
      </c>
      <c r="N39" s="2"/>
      <c r="P39" s="4"/>
    </row>
    <row r="40" spans="1:16" x14ac:dyDescent="0.3">
      <c r="A40" s="2" t="s">
        <v>605</v>
      </c>
      <c r="B40" s="5" t="s">
        <v>1609</v>
      </c>
      <c r="C40" s="2" t="s">
        <v>163</v>
      </c>
      <c r="D40" s="2" t="s">
        <v>420</v>
      </c>
      <c r="E40" s="2">
        <v>3</v>
      </c>
      <c r="F40" s="2">
        <v>172161</v>
      </c>
      <c r="G40" s="2" t="s">
        <v>563</v>
      </c>
      <c r="H40" s="2" t="str">
        <f t="shared" si="0"/>
        <v>("ORD-00039","2025-10-06","BEA-SKI-162","CX-074",3,172161,"Cash"),</v>
      </c>
      <c r="N40" s="2"/>
      <c r="P40" s="4"/>
    </row>
    <row r="41" spans="1:16" x14ac:dyDescent="0.3">
      <c r="A41" s="2" t="s">
        <v>606</v>
      </c>
      <c r="B41" s="5" t="s">
        <v>1610</v>
      </c>
      <c r="C41" s="2" t="s">
        <v>106</v>
      </c>
      <c r="D41" s="2" t="s">
        <v>403</v>
      </c>
      <c r="E41" s="2">
        <v>1</v>
      </c>
      <c r="F41" s="2">
        <v>2222</v>
      </c>
      <c r="G41" s="2" t="s">
        <v>570</v>
      </c>
      <c r="H41" s="2" t="str">
        <f t="shared" si="0"/>
        <v>("ORD-00040","2025-01-04","HOM-APP-105","CX-083",1,2222,"UPI"),</v>
      </c>
      <c r="N41" s="2"/>
      <c r="P41" s="4"/>
    </row>
    <row r="42" spans="1:16" x14ac:dyDescent="0.3">
      <c r="A42" s="2" t="s">
        <v>607</v>
      </c>
      <c r="B42" s="5" t="s">
        <v>1611</v>
      </c>
      <c r="C42" s="2" t="s">
        <v>88</v>
      </c>
      <c r="D42" s="2" t="s">
        <v>529</v>
      </c>
      <c r="E42" s="2">
        <v>4</v>
      </c>
      <c r="F42" s="2">
        <v>169368</v>
      </c>
      <c r="G42" s="2" t="s">
        <v>563</v>
      </c>
      <c r="H42" s="2" t="str">
        <f t="shared" si="0"/>
        <v>("ORD-00041","2025-02-18","HOM-KIT-087","CX-015",4,169368,"Cash"),</v>
      </c>
      <c r="N42" s="2"/>
      <c r="P42" s="4"/>
    </row>
    <row r="43" spans="1:16" x14ac:dyDescent="0.3">
      <c r="A43" s="2" t="s">
        <v>608</v>
      </c>
      <c r="B43" s="5" t="s">
        <v>1612</v>
      </c>
      <c r="C43" s="2" t="s">
        <v>39</v>
      </c>
      <c r="D43" s="2" t="s">
        <v>350</v>
      </c>
      <c r="E43" s="2">
        <v>3</v>
      </c>
      <c r="F43" s="2">
        <v>97512</v>
      </c>
      <c r="G43" s="2" t="s">
        <v>565</v>
      </c>
      <c r="H43" s="2" t="str">
        <f t="shared" si="0"/>
        <v>("ORD-00042","2025-03-05","ELE-CAM-038","CX-109",3,97512,"NetBanking"),</v>
      </c>
      <c r="N43" s="2"/>
      <c r="P43" s="4"/>
    </row>
    <row r="44" spans="1:16" x14ac:dyDescent="0.3">
      <c r="A44" s="2" t="s">
        <v>609</v>
      </c>
      <c r="B44" s="5" t="s">
        <v>1613</v>
      </c>
      <c r="C44" s="2" t="s">
        <v>15</v>
      </c>
      <c r="D44" s="2" t="s">
        <v>331</v>
      </c>
      <c r="E44" s="2">
        <v>2</v>
      </c>
      <c r="F44" s="2">
        <v>81932</v>
      </c>
      <c r="G44" s="2" t="s">
        <v>567</v>
      </c>
      <c r="H44" s="2" t="str">
        <f t="shared" si="0"/>
        <v>("ORD-00043","2025-04-01","ELE-LAP-014","CX-116",2,81932,"Wallet"),</v>
      </c>
      <c r="N44" s="2"/>
      <c r="P44" s="4"/>
    </row>
    <row r="45" spans="1:16" x14ac:dyDescent="0.3">
      <c r="A45" s="2" t="s">
        <v>610</v>
      </c>
      <c r="B45" s="5" t="s">
        <v>1614</v>
      </c>
      <c r="C45" s="2" t="s">
        <v>59</v>
      </c>
      <c r="D45" s="2" t="s">
        <v>429</v>
      </c>
      <c r="E45" s="2">
        <v>1</v>
      </c>
      <c r="F45" s="2">
        <v>31144</v>
      </c>
      <c r="G45" s="2" t="s">
        <v>572</v>
      </c>
      <c r="H45" s="2" t="str">
        <f t="shared" si="0"/>
        <v>("ORD-00044","2024-12-31","FAS-WOM-058","CX-069",1,31144,"Card"),</v>
      </c>
      <c r="N45" s="2"/>
      <c r="P45" s="4"/>
    </row>
    <row r="46" spans="1:16" x14ac:dyDescent="0.3">
      <c r="A46" s="2" t="s">
        <v>611</v>
      </c>
      <c r="B46" s="5" t="s">
        <v>1615</v>
      </c>
      <c r="C46" s="2" t="s">
        <v>137</v>
      </c>
      <c r="D46" s="2" t="s">
        <v>535</v>
      </c>
      <c r="E46" s="2">
        <v>1</v>
      </c>
      <c r="F46" s="2">
        <v>18891</v>
      </c>
      <c r="G46" s="2" t="s">
        <v>565</v>
      </c>
      <c r="H46" s="2" t="str">
        <f t="shared" si="0"/>
        <v>("ORD-00045","2025-03-07","SPO-OUT-136","CX-012",1,18891,"NetBanking"),</v>
      </c>
      <c r="N46" s="2"/>
      <c r="P46" s="4"/>
    </row>
    <row r="47" spans="1:16" x14ac:dyDescent="0.3">
      <c r="A47" s="2" t="s">
        <v>612</v>
      </c>
      <c r="B47" s="5" t="s">
        <v>1616</v>
      </c>
      <c r="C47" s="2" t="s">
        <v>191</v>
      </c>
      <c r="D47" s="2" t="s">
        <v>542</v>
      </c>
      <c r="E47" s="2">
        <v>1</v>
      </c>
      <c r="F47" s="2">
        <v>47769</v>
      </c>
      <c r="G47" s="2" t="s">
        <v>563</v>
      </c>
      <c r="H47" s="2" t="str">
        <f t="shared" si="0"/>
        <v>("ORD-00046","2025-10-09","BEA-MAK-190","CX-008",1,47769,"Cash"),</v>
      </c>
      <c r="N47" s="2"/>
      <c r="P47" s="4"/>
    </row>
    <row r="48" spans="1:16" x14ac:dyDescent="0.3">
      <c r="A48" s="2" t="s">
        <v>613</v>
      </c>
      <c r="B48" s="5" t="s">
        <v>1617</v>
      </c>
      <c r="C48" s="2" t="s">
        <v>53</v>
      </c>
      <c r="D48" s="2" t="s">
        <v>410</v>
      </c>
      <c r="E48" s="2">
        <v>5</v>
      </c>
      <c r="F48" s="2">
        <v>77330</v>
      </c>
      <c r="G48" s="2" t="s">
        <v>572</v>
      </c>
      <c r="H48" s="2" t="str">
        <f t="shared" si="0"/>
        <v>("ORD-00047","2025-11-03","FAS-WOM-052","CX-079",5,77330,"Card"),</v>
      </c>
      <c r="N48" s="2"/>
      <c r="P48" s="4"/>
    </row>
    <row r="49" spans="1:16" x14ac:dyDescent="0.3">
      <c r="A49" s="2" t="s">
        <v>614</v>
      </c>
      <c r="B49" s="5" t="s">
        <v>1618</v>
      </c>
      <c r="C49" s="2" t="s">
        <v>156</v>
      </c>
      <c r="D49" s="2" t="s">
        <v>473</v>
      </c>
      <c r="E49" s="2">
        <v>4</v>
      </c>
      <c r="F49" s="2">
        <v>95312</v>
      </c>
      <c r="G49" s="2" t="s">
        <v>563</v>
      </c>
      <c r="H49" s="2" t="str">
        <f t="shared" si="0"/>
        <v>("ORD-00048","2025-04-23","SPO-ACC-155","CX-045",4,95312,"Cash"),</v>
      </c>
      <c r="N49" s="2"/>
      <c r="P49" s="4"/>
    </row>
    <row r="50" spans="1:16" x14ac:dyDescent="0.3">
      <c r="A50" s="2" t="s">
        <v>615</v>
      </c>
      <c r="B50" s="5" t="s">
        <v>1617</v>
      </c>
      <c r="C50" s="2" t="s">
        <v>25</v>
      </c>
      <c r="D50" s="2" t="s">
        <v>407</v>
      </c>
      <c r="E50" s="2">
        <v>3</v>
      </c>
      <c r="F50" s="2">
        <v>20925</v>
      </c>
      <c r="G50" s="2" t="s">
        <v>572</v>
      </c>
      <c r="H50" s="2" t="str">
        <f t="shared" si="0"/>
        <v>("ORD-00049","2025-11-03","ELE-ACC-024","CX-081",3,20925,"Card"),</v>
      </c>
      <c r="N50" s="2"/>
      <c r="P50" s="4"/>
    </row>
    <row r="51" spans="1:16" x14ac:dyDescent="0.3">
      <c r="A51" s="2" t="s">
        <v>616</v>
      </c>
      <c r="B51" s="5" t="s">
        <v>1619</v>
      </c>
      <c r="C51" s="2" t="s">
        <v>12</v>
      </c>
      <c r="D51" s="2" t="s">
        <v>452</v>
      </c>
      <c r="E51" s="2">
        <v>3</v>
      </c>
      <c r="F51" s="2">
        <v>130935</v>
      </c>
      <c r="G51" s="2" t="s">
        <v>570</v>
      </c>
      <c r="H51" s="2" t="str">
        <f t="shared" si="0"/>
        <v>("ORD-00050","2025-01-30","ELE-LAP-011","CX-056",3,130935,"UPI"),</v>
      </c>
      <c r="N51" s="2"/>
      <c r="P51" s="4"/>
    </row>
    <row r="52" spans="1:16" x14ac:dyDescent="0.3">
      <c r="A52" s="2" t="s">
        <v>617</v>
      </c>
      <c r="B52" s="5" t="s">
        <v>1620</v>
      </c>
      <c r="C52" s="2" t="s">
        <v>49</v>
      </c>
      <c r="D52" s="2" t="s">
        <v>366</v>
      </c>
      <c r="E52" s="2">
        <v>1</v>
      </c>
      <c r="F52" s="2">
        <v>10385</v>
      </c>
      <c r="G52" s="2" t="s">
        <v>567</v>
      </c>
      <c r="H52" s="2" t="str">
        <f t="shared" si="0"/>
        <v>("ORD-00051","2025-05-08","FAS-MEN-048","CX-101",1,10385,"Wallet"),</v>
      </c>
      <c r="N52" s="2"/>
      <c r="P52" s="4"/>
    </row>
    <row r="53" spans="1:16" x14ac:dyDescent="0.3">
      <c r="A53" s="2" t="s">
        <v>618</v>
      </c>
      <c r="B53" s="5" t="s">
        <v>1621</v>
      </c>
      <c r="C53" s="2" t="s">
        <v>42</v>
      </c>
      <c r="D53" s="2" t="s">
        <v>497</v>
      </c>
      <c r="E53" s="2">
        <v>5</v>
      </c>
      <c r="F53" s="2">
        <v>148405</v>
      </c>
      <c r="G53" s="2" t="s">
        <v>563</v>
      </c>
      <c r="H53" s="2" t="str">
        <f t="shared" si="0"/>
        <v>("ORD-00052","2025-04-22","FAS-MEN-041","CX-032",5,148405,"Cash"),</v>
      </c>
      <c r="N53" s="2"/>
      <c r="P53" s="4"/>
    </row>
    <row r="54" spans="1:16" x14ac:dyDescent="0.3">
      <c r="A54" s="2" t="s">
        <v>619</v>
      </c>
      <c r="B54" s="5" t="s">
        <v>1591</v>
      </c>
      <c r="C54" s="2" t="s">
        <v>54</v>
      </c>
      <c r="D54" s="2" t="s">
        <v>366</v>
      </c>
      <c r="E54" s="2">
        <v>5</v>
      </c>
      <c r="F54" s="2">
        <v>40260</v>
      </c>
      <c r="G54" s="2" t="s">
        <v>565</v>
      </c>
      <c r="H54" s="2" t="str">
        <f t="shared" si="0"/>
        <v>("ORD-00053","2025-09-30","FAS-WOM-053","CX-101",5,40260,"NetBanking"),</v>
      </c>
      <c r="N54" s="2"/>
      <c r="P54" s="4"/>
    </row>
    <row r="55" spans="1:16" x14ac:dyDescent="0.3">
      <c r="A55" s="2" t="s">
        <v>620</v>
      </c>
      <c r="B55" s="5" t="s">
        <v>1622</v>
      </c>
      <c r="C55" s="2" t="s">
        <v>80</v>
      </c>
      <c r="D55" s="2" t="s">
        <v>433</v>
      </c>
      <c r="E55" s="2">
        <v>2</v>
      </c>
      <c r="F55" s="2">
        <v>50290</v>
      </c>
      <c r="G55" s="2" t="s">
        <v>563</v>
      </c>
      <c r="H55" s="2" t="str">
        <f t="shared" si="0"/>
        <v>("ORD-00054","2025-06-26","FAS-FOO-079","CX-067",2,50290,"Cash"),</v>
      </c>
      <c r="N55" s="2"/>
      <c r="P55" s="4"/>
    </row>
    <row r="56" spans="1:16" x14ac:dyDescent="0.3">
      <c r="A56" s="2" t="s">
        <v>621</v>
      </c>
      <c r="B56" s="5" t="s">
        <v>1574</v>
      </c>
      <c r="C56" s="2" t="s">
        <v>99</v>
      </c>
      <c r="D56" s="2" t="s">
        <v>443</v>
      </c>
      <c r="E56" s="2">
        <v>3</v>
      </c>
      <c r="F56" s="2">
        <v>99618</v>
      </c>
      <c r="G56" s="2" t="s">
        <v>572</v>
      </c>
      <c r="H56" s="2" t="str">
        <f t="shared" si="0"/>
        <v>("ORD-00055","2024-12-22","HOM-DEC-098","CX-061",3,99618,"Card"),</v>
      </c>
      <c r="N56" s="2"/>
      <c r="P56" s="4"/>
    </row>
    <row r="57" spans="1:16" x14ac:dyDescent="0.3">
      <c r="A57" s="2" t="s">
        <v>622</v>
      </c>
      <c r="B57" s="5" t="s">
        <v>1623</v>
      </c>
      <c r="C57" s="2" t="s">
        <v>65</v>
      </c>
      <c r="D57" s="2" t="s">
        <v>393</v>
      </c>
      <c r="E57" s="2">
        <v>3</v>
      </c>
      <c r="F57" s="2">
        <v>21330</v>
      </c>
      <c r="G57" s="2" t="s">
        <v>567</v>
      </c>
      <c r="H57" s="2" t="str">
        <f t="shared" si="0"/>
        <v>("ORD-00056","2025-08-02","FAS-KID-064","CX-088",3,21330,"Wallet"),</v>
      </c>
      <c r="N57" s="2"/>
      <c r="P57" s="4"/>
    </row>
    <row r="58" spans="1:16" x14ac:dyDescent="0.3">
      <c r="A58" s="2" t="s">
        <v>623</v>
      </c>
      <c r="B58" s="5" t="s">
        <v>1579</v>
      </c>
      <c r="C58" s="2" t="s">
        <v>169</v>
      </c>
      <c r="D58" s="2" t="s">
        <v>374</v>
      </c>
      <c r="E58" s="2">
        <v>2</v>
      </c>
      <c r="F58" s="2">
        <v>27160</v>
      </c>
      <c r="G58" s="2" t="s">
        <v>572</v>
      </c>
      <c r="H58" s="2" t="str">
        <f t="shared" si="0"/>
        <v>("ORD-00057","2025-03-02","BEA-SKI-168","CX-097",2,27160,"Card"),</v>
      </c>
      <c r="N58" s="2"/>
      <c r="P58" s="4"/>
    </row>
    <row r="59" spans="1:16" x14ac:dyDescent="0.3">
      <c r="A59" s="2" t="s">
        <v>624</v>
      </c>
      <c r="B59" s="5" t="s">
        <v>1624</v>
      </c>
      <c r="C59" s="2" t="s">
        <v>153</v>
      </c>
      <c r="D59" s="2" t="s">
        <v>486</v>
      </c>
      <c r="E59" s="2">
        <v>2</v>
      </c>
      <c r="F59" s="2">
        <v>26346</v>
      </c>
      <c r="G59" s="2" t="s">
        <v>567</v>
      </c>
      <c r="H59" s="2" t="str">
        <f t="shared" si="0"/>
        <v>("ORD-00058","2025-10-08","SPO-ACC-152","CX-038",2,26346,"Wallet"),</v>
      </c>
      <c r="N59" s="2"/>
      <c r="P59" s="4"/>
    </row>
    <row r="60" spans="1:16" x14ac:dyDescent="0.3">
      <c r="A60" s="2" t="s">
        <v>625</v>
      </c>
      <c r="B60" s="5" t="s">
        <v>1585</v>
      </c>
      <c r="C60" s="2" t="s">
        <v>166</v>
      </c>
      <c r="D60" s="2" t="s">
        <v>549</v>
      </c>
      <c r="E60" s="2">
        <v>4</v>
      </c>
      <c r="F60" s="2">
        <v>158568</v>
      </c>
      <c r="G60" s="2" t="s">
        <v>572</v>
      </c>
      <c r="H60" s="2" t="str">
        <f t="shared" si="0"/>
        <v>("ORD-00059","2025-01-08","BEA-SKI-165","CX-004",4,158568,"Card"),</v>
      </c>
      <c r="N60" s="2"/>
      <c r="P60" s="4"/>
    </row>
    <row r="61" spans="1:16" x14ac:dyDescent="0.3">
      <c r="A61" s="2" t="s">
        <v>626</v>
      </c>
      <c r="B61" s="5" t="s">
        <v>1625</v>
      </c>
      <c r="C61" s="2" t="s">
        <v>120</v>
      </c>
      <c r="D61" s="2" t="s">
        <v>509</v>
      </c>
      <c r="E61" s="2">
        <v>4</v>
      </c>
      <c r="F61" s="2">
        <v>77480</v>
      </c>
      <c r="G61" s="2" t="s">
        <v>570</v>
      </c>
      <c r="H61" s="2" t="str">
        <f t="shared" si="0"/>
        <v>("ORD-00060","2025-01-11","HOM-FUR-119","CX-026",4,77480,"UPI"),</v>
      </c>
      <c r="N61" s="2"/>
      <c r="P61" s="4"/>
    </row>
    <row r="62" spans="1:16" x14ac:dyDescent="0.3">
      <c r="A62" s="2" t="s">
        <v>627</v>
      </c>
      <c r="B62" s="5" t="s">
        <v>1607</v>
      </c>
      <c r="C62" s="2" t="s">
        <v>75</v>
      </c>
      <c r="D62" s="2" t="s">
        <v>553</v>
      </c>
      <c r="E62" s="2">
        <v>2</v>
      </c>
      <c r="F62" s="2">
        <v>22740</v>
      </c>
      <c r="G62" s="2" t="s">
        <v>570</v>
      </c>
      <c r="H62" s="2" t="str">
        <f t="shared" si="0"/>
        <v>("ORD-00061","2024-12-21","FAS-FOO-074","CX-002",2,22740,"UPI"),</v>
      </c>
      <c r="N62" s="2"/>
      <c r="P62" s="4"/>
    </row>
    <row r="63" spans="1:16" x14ac:dyDescent="0.3">
      <c r="A63" s="2" t="s">
        <v>628</v>
      </c>
      <c r="B63" s="5" t="s">
        <v>1626</v>
      </c>
      <c r="C63" s="2" t="s">
        <v>175</v>
      </c>
      <c r="D63" s="2" t="s">
        <v>511</v>
      </c>
      <c r="E63" s="2">
        <v>5</v>
      </c>
      <c r="F63" s="2">
        <v>229975</v>
      </c>
      <c r="G63" s="2" t="s">
        <v>565</v>
      </c>
      <c r="H63" s="2" t="str">
        <f t="shared" si="0"/>
        <v>("ORD-00062","2025-03-19","BEA-HAI-174","CX-025",5,229975,"NetBanking"),</v>
      </c>
      <c r="N63" s="2"/>
      <c r="P63" s="4"/>
    </row>
    <row r="64" spans="1:16" x14ac:dyDescent="0.3">
      <c r="A64" s="2" t="s">
        <v>629</v>
      </c>
      <c r="B64" s="5" t="s">
        <v>1627</v>
      </c>
      <c r="C64" s="2" t="s">
        <v>47</v>
      </c>
      <c r="D64" s="2" t="s">
        <v>553</v>
      </c>
      <c r="E64" s="2">
        <v>1</v>
      </c>
      <c r="F64" s="2">
        <v>13562</v>
      </c>
      <c r="G64" s="2" t="s">
        <v>565</v>
      </c>
      <c r="H64" s="2" t="str">
        <f t="shared" si="0"/>
        <v>("ORD-00063","2025-11-23","FAS-MEN-046","CX-002",1,13562,"NetBanking"),</v>
      </c>
      <c r="N64" s="2"/>
      <c r="P64" s="4"/>
    </row>
    <row r="65" spans="1:16" x14ac:dyDescent="0.3">
      <c r="A65" s="2" t="s">
        <v>630</v>
      </c>
      <c r="B65" s="5" t="s">
        <v>1628</v>
      </c>
      <c r="C65" s="2" t="s">
        <v>182</v>
      </c>
      <c r="D65" s="2" t="s">
        <v>318</v>
      </c>
      <c r="E65" s="2">
        <v>4</v>
      </c>
      <c r="F65" s="2">
        <v>123496</v>
      </c>
      <c r="G65" s="2" t="s">
        <v>565</v>
      </c>
      <c r="H65" s="2" t="str">
        <f t="shared" si="0"/>
        <v>("ORD-00064","2025-01-01","BEA-MAK-181","CX-120",4,123496,"NetBanking"),</v>
      </c>
      <c r="N65" s="2"/>
      <c r="P65" s="4"/>
    </row>
    <row r="66" spans="1:16" x14ac:dyDescent="0.3">
      <c r="A66" s="2" t="s">
        <v>631</v>
      </c>
      <c r="B66" s="5" t="s">
        <v>1583</v>
      </c>
      <c r="C66" s="2" t="s">
        <v>144</v>
      </c>
      <c r="D66" s="2" t="s">
        <v>441</v>
      </c>
      <c r="E66" s="2">
        <v>3</v>
      </c>
      <c r="F66" s="2">
        <v>23985</v>
      </c>
      <c r="G66" s="2" t="s">
        <v>570</v>
      </c>
      <c r="H66" s="2" t="str">
        <f t="shared" si="0"/>
        <v>("ORD-00065","2025-08-28","SPO-IND-143","CX-062",3,23985,"UPI"),</v>
      </c>
      <c r="N66" s="2"/>
      <c r="P66" s="4"/>
    </row>
    <row r="67" spans="1:16" x14ac:dyDescent="0.3">
      <c r="A67" s="2" t="s">
        <v>632</v>
      </c>
      <c r="B67" s="5" t="s">
        <v>1629</v>
      </c>
      <c r="C67" s="2" t="s">
        <v>81</v>
      </c>
      <c r="D67" s="2" t="s">
        <v>487</v>
      </c>
      <c r="E67" s="2">
        <v>3</v>
      </c>
      <c r="F67" s="2">
        <v>9207</v>
      </c>
      <c r="G67" s="2" t="s">
        <v>572</v>
      </c>
      <c r="H67" s="2" t="str">
        <f t="shared" ref="H67:H130" si="1">"("""&amp;A67&amp;""","""&amp;B67&amp;""","""&amp;C67&amp;""","""&amp;D67&amp;""","&amp;E67&amp;","&amp;F67&amp;","""&amp;G67&amp;"""),"</f>
        <v>("ORD-00066","2025-10-30","FAS-FOO-080","CX-037",3,9207,"Card"),</v>
      </c>
      <c r="N67" s="2"/>
      <c r="P67" s="4"/>
    </row>
    <row r="68" spans="1:16" x14ac:dyDescent="0.3">
      <c r="A68" s="2" t="s">
        <v>633</v>
      </c>
      <c r="B68" s="5" t="s">
        <v>1601</v>
      </c>
      <c r="C68" s="2" t="s">
        <v>135</v>
      </c>
      <c r="D68" s="2" t="s">
        <v>486</v>
      </c>
      <c r="E68" s="2">
        <v>5</v>
      </c>
      <c r="F68" s="2">
        <v>297320</v>
      </c>
      <c r="G68" s="2" t="s">
        <v>563</v>
      </c>
      <c r="H68" s="2" t="str">
        <f t="shared" si="1"/>
        <v>("ORD-00067","2025-08-22","SPO-OUT-134","CX-038",5,297320,"Cash"),</v>
      </c>
      <c r="N68" s="2"/>
      <c r="P68" s="4"/>
    </row>
    <row r="69" spans="1:16" x14ac:dyDescent="0.3">
      <c r="A69" s="2" t="s">
        <v>634</v>
      </c>
      <c r="B69" s="5" t="s">
        <v>1630</v>
      </c>
      <c r="C69" s="2" t="s">
        <v>93</v>
      </c>
      <c r="D69" s="2" t="s">
        <v>487</v>
      </c>
      <c r="E69" s="2">
        <v>4</v>
      </c>
      <c r="F69" s="2">
        <v>7628</v>
      </c>
      <c r="G69" s="2" t="s">
        <v>570</v>
      </c>
      <c r="H69" s="2" t="str">
        <f t="shared" si="1"/>
        <v>("ORD-00068","2025-08-26","HOM-DEC-092","CX-037",4,7628,"UPI"),</v>
      </c>
      <c r="N69" s="2"/>
      <c r="P69" s="4"/>
    </row>
    <row r="70" spans="1:16" x14ac:dyDescent="0.3">
      <c r="A70" s="2" t="s">
        <v>635</v>
      </c>
      <c r="B70" s="5" t="s">
        <v>1623</v>
      </c>
      <c r="C70" s="2" t="s">
        <v>124</v>
      </c>
      <c r="D70" s="2" t="s">
        <v>486</v>
      </c>
      <c r="E70" s="2">
        <v>5</v>
      </c>
      <c r="F70" s="2">
        <v>256980</v>
      </c>
      <c r="G70" s="2" t="s">
        <v>565</v>
      </c>
      <c r="H70" s="2" t="str">
        <f t="shared" si="1"/>
        <v>("ORD-00069","2025-08-02","SPO-FIT-123","CX-038",5,256980,"NetBanking"),</v>
      </c>
      <c r="N70" s="2"/>
      <c r="P70" s="4"/>
    </row>
    <row r="71" spans="1:16" x14ac:dyDescent="0.3">
      <c r="A71" s="2" t="s">
        <v>636</v>
      </c>
      <c r="B71" s="5" t="s">
        <v>1631</v>
      </c>
      <c r="C71" s="2" t="s">
        <v>90</v>
      </c>
      <c r="D71" s="2" t="s">
        <v>462</v>
      </c>
      <c r="E71" s="2">
        <v>5</v>
      </c>
      <c r="F71" s="2">
        <v>275355</v>
      </c>
      <c r="G71" s="2" t="s">
        <v>567</v>
      </c>
      <c r="H71" s="2" t="str">
        <f t="shared" si="1"/>
        <v>("ORD-00070","2025-03-24","HOM-KIT-089","CX-051",5,275355,"Wallet"),</v>
      </c>
      <c r="N71" s="2"/>
      <c r="P71" s="4"/>
    </row>
    <row r="72" spans="1:16" x14ac:dyDescent="0.3">
      <c r="A72" s="2" t="s">
        <v>637</v>
      </c>
      <c r="B72" s="5" t="s">
        <v>1632</v>
      </c>
      <c r="C72" s="2" t="s">
        <v>57</v>
      </c>
      <c r="D72" s="2" t="s">
        <v>370</v>
      </c>
      <c r="E72" s="2">
        <v>1</v>
      </c>
      <c r="F72" s="2">
        <v>21702</v>
      </c>
      <c r="G72" s="2" t="s">
        <v>565</v>
      </c>
      <c r="H72" s="2" t="str">
        <f t="shared" si="1"/>
        <v>("ORD-00071","2025-06-01","FAS-WOM-056","CX-099",1,21702,"NetBanking"),</v>
      </c>
      <c r="N72" s="2"/>
      <c r="P72" s="4"/>
    </row>
    <row r="73" spans="1:16" x14ac:dyDescent="0.3">
      <c r="A73" s="2" t="s">
        <v>638</v>
      </c>
      <c r="B73" s="5" t="s">
        <v>1633</v>
      </c>
      <c r="C73" s="2" t="s">
        <v>146</v>
      </c>
      <c r="D73" s="2" t="s">
        <v>539</v>
      </c>
      <c r="E73" s="2">
        <v>3</v>
      </c>
      <c r="F73" s="2">
        <v>138612</v>
      </c>
      <c r="G73" s="2" t="s">
        <v>567</v>
      </c>
      <c r="H73" s="2" t="str">
        <f t="shared" si="1"/>
        <v>("ORD-00072","2025-02-17","SPO-IND-145","CX-010",3,138612,"Wallet"),</v>
      </c>
      <c r="N73" s="2"/>
      <c r="P73" s="4"/>
    </row>
    <row r="74" spans="1:16" x14ac:dyDescent="0.3">
      <c r="A74" s="2" t="s">
        <v>639</v>
      </c>
      <c r="B74" s="5" t="s">
        <v>1602</v>
      </c>
      <c r="C74" s="2" t="s">
        <v>123</v>
      </c>
      <c r="D74" s="2" t="s">
        <v>437</v>
      </c>
      <c r="E74" s="2">
        <v>2</v>
      </c>
      <c r="F74" s="2">
        <v>73874</v>
      </c>
      <c r="G74" s="2" t="s">
        <v>565</v>
      </c>
      <c r="H74" s="2" t="str">
        <f t="shared" si="1"/>
        <v>("ORD-00073","2025-02-05","SPO-FIT-122","CX-064",2,73874,"NetBanking"),</v>
      </c>
      <c r="N74" s="2"/>
      <c r="P74" s="4"/>
    </row>
    <row r="75" spans="1:16" x14ac:dyDescent="0.3">
      <c r="A75" s="2" t="s">
        <v>640</v>
      </c>
      <c r="B75" s="5" t="s">
        <v>1634</v>
      </c>
      <c r="C75" s="2" t="s">
        <v>57</v>
      </c>
      <c r="D75" s="2" t="s">
        <v>435</v>
      </c>
      <c r="E75" s="2">
        <v>2</v>
      </c>
      <c r="F75" s="2">
        <v>43404</v>
      </c>
      <c r="G75" s="2" t="s">
        <v>567</v>
      </c>
      <c r="H75" s="2" t="str">
        <f t="shared" si="1"/>
        <v>("ORD-00074","2025-01-12","FAS-WOM-056","CX-066",2,43404,"Wallet"),</v>
      </c>
      <c r="N75" s="2"/>
      <c r="P75" s="4"/>
    </row>
    <row r="76" spans="1:16" x14ac:dyDescent="0.3">
      <c r="A76" s="2" t="s">
        <v>641</v>
      </c>
      <c r="B76" s="5" t="s">
        <v>1635</v>
      </c>
      <c r="C76" s="2" t="s">
        <v>178</v>
      </c>
      <c r="D76" s="2" t="s">
        <v>515</v>
      </c>
      <c r="E76" s="2">
        <v>5</v>
      </c>
      <c r="F76" s="2">
        <v>258945</v>
      </c>
      <c r="G76" s="2" t="s">
        <v>563</v>
      </c>
      <c r="H76" s="2" t="str">
        <f t="shared" si="1"/>
        <v>("ORD-00075","2025-11-09","BEA-HAI-177","CX-023",5,258945,"Cash"),</v>
      </c>
      <c r="N76" s="2"/>
      <c r="P76" s="4"/>
    </row>
    <row r="77" spans="1:16" x14ac:dyDescent="0.3">
      <c r="A77" s="2" t="s">
        <v>642</v>
      </c>
      <c r="B77" s="5" t="s">
        <v>1636</v>
      </c>
      <c r="C77" s="2" t="s">
        <v>16</v>
      </c>
      <c r="D77" s="2" t="s">
        <v>515</v>
      </c>
      <c r="E77" s="2">
        <v>3</v>
      </c>
      <c r="F77" s="2">
        <v>73719</v>
      </c>
      <c r="G77" s="2" t="s">
        <v>572</v>
      </c>
      <c r="H77" s="2" t="str">
        <f t="shared" si="1"/>
        <v>("ORD-00076","2025-07-27","ELE-LAP-015","CX-023",3,73719,"Card"),</v>
      </c>
      <c r="N77" s="2"/>
      <c r="P77" s="4"/>
    </row>
    <row r="78" spans="1:16" x14ac:dyDescent="0.3">
      <c r="A78" s="2" t="s">
        <v>643</v>
      </c>
      <c r="B78" s="5" t="s">
        <v>1637</v>
      </c>
      <c r="C78" s="2" t="s">
        <v>105</v>
      </c>
      <c r="D78" s="2" t="s">
        <v>527</v>
      </c>
      <c r="E78" s="2">
        <v>4</v>
      </c>
      <c r="F78" s="2">
        <v>164408</v>
      </c>
      <c r="G78" s="2" t="s">
        <v>563</v>
      </c>
      <c r="H78" s="2" t="str">
        <f t="shared" si="1"/>
        <v>("ORD-00077","2025-10-04","HOM-APP-104","CX-016",4,164408,"Cash"),</v>
      </c>
      <c r="N78" s="2"/>
      <c r="P78" s="4"/>
    </row>
    <row r="79" spans="1:16" x14ac:dyDescent="0.3">
      <c r="A79" s="2" t="s">
        <v>644</v>
      </c>
      <c r="B79" s="5" t="s">
        <v>1638</v>
      </c>
      <c r="C79" s="2" t="s">
        <v>193</v>
      </c>
      <c r="D79" s="2" t="s">
        <v>486</v>
      </c>
      <c r="E79" s="2">
        <v>3</v>
      </c>
      <c r="F79" s="2">
        <v>109173</v>
      </c>
      <c r="G79" s="2" t="s">
        <v>567</v>
      </c>
      <c r="H79" s="2" t="str">
        <f t="shared" si="1"/>
        <v>("ORD-00078","2025-02-25","BEA-FRA-192","CX-038",3,109173,"Wallet"),</v>
      </c>
      <c r="N79" s="2"/>
      <c r="P79" s="4"/>
    </row>
    <row r="80" spans="1:16" x14ac:dyDescent="0.3">
      <c r="A80" s="2" t="s">
        <v>645</v>
      </c>
      <c r="B80" s="5" t="s">
        <v>1639</v>
      </c>
      <c r="C80" s="2" t="s">
        <v>140</v>
      </c>
      <c r="D80" s="2" t="s">
        <v>465</v>
      </c>
      <c r="E80" s="2">
        <v>5</v>
      </c>
      <c r="F80" s="2">
        <v>89380</v>
      </c>
      <c r="G80" s="2" t="s">
        <v>563</v>
      </c>
      <c r="H80" s="2" t="str">
        <f t="shared" si="1"/>
        <v>("ORD-00079","2025-03-09","SPO-OUT-139","CX-049",5,89380,"Cash"),</v>
      </c>
      <c r="N80" s="2"/>
      <c r="P80" s="4"/>
    </row>
    <row r="81" spans="1:16" x14ac:dyDescent="0.3">
      <c r="A81" s="2" t="s">
        <v>646</v>
      </c>
      <c r="B81" s="5" t="s">
        <v>1640</v>
      </c>
      <c r="C81" s="2" t="s">
        <v>114</v>
      </c>
      <c r="D81" s="2" t="s">
        <v>393</v>
      </c>
      <c r="E81" s="2">
        <v>1</v>
      </c>
      <c r="F81" s="2">
        <v>36363</v>
      </c>
      <c r="G81" s="2" t="s">
        <v>570</v>
      </c>
      <c r="H81" s="2" t="str">
        <f t="shared" si="1"/>
        <v>("ORD-00080","2025-04-21","HOM-FUR-113","CX-088",1,36363,"UPI"),</v>
      </c>
      <c r="N81" s="2"/>
      <c r="P81" s="4"/>
    </row>
    <row r="82" spans="1:16" x14ac:dyDescent="0.3">
      <c r="A82" s="2" t="s">
        <v>647</v>
      </c>
      <c r="B82" s="5" t="s">
        <v>1641</v>
      </c>
      <c r="C82" s="2" t="s">
        <v>90</v>
      </c>
      <c r="D82" s="2" t="s">
        <v>511</v>
      </c>
      <c r="E82" s="2">
        <v>5</v>
      </c>
      <c r="F82" s="2">
        <v>275355</v>
      </c>
      <c r="G82" s="2" t="s">
        <v>572</v>
      </c>
      <c r="H82" s="2" t="str">
        <f t="shared" si="1"/>
        <v>("ORD-00081","2025-11-06","HOM-KIT-089","CX-025",5,275355,"Card"),</v>
      </c>
      <c r="N82" s="2"/>
      <c r="P82" s="4"/>
    </row>
    <row r="83" spans="1:16" x14ac:dyDescent="0.3">
      <c r="A83" s="2" t="s">
        <v>648</v>
      </c>
      <c r="B83" s="5" t="s">
        <v>1642</v>
      </c>
      <c r="C83" s="2" t="s">
        <v>146</v>
      </c>
      <c r="D83" s="2" t="s">
        <v>491</v>
      </c>
      <c r="E83" s="2">
        <v>5</v>
      </c>
      <c r="F83" s="2">
        <v>231020</v>
      </c>
      <c r="G83" s="2" t="s">
        <v>567</v>
      </c>
      <c r="H83" s="2" t="str">
        <f t="shared" si="1"/>
        <v>("ORD-00082","2024-12-28","SPO-IND-145","CX-035",5,231020,"Wallet"),</v>
      </c>
      <c r="N83" s="2"/>
      <c r="P83" s="4"/>
    </row>
    <row r="84" spans="1:16" x14ac:dyDescent="0.3">
      <c r="A84" s="2" t="s">
        <v>649</v>
      </c>
      <c r="B84" s="5" t="s">
        <v>1643</v>
      </c>
      <c r="C84" s="2" t="s">
        <v>158</v>
      </c>
      <c r="D84" s="2" t="s">
        <v>431</v>
      </c>
      <c r="E84" s="2">
        <v>4</v>
      </c>
      <c r="F84" s="2">
        <v>75920</v>
      </c>
      <c r="G84" s="2" t="s">
        <v>572</v>
      </c>
      <c r="H84" s="2" t="str">
        <f t="shared" si="1"/>
        <v>("ORD-00083","2025-01-19","SPO-ACC-157","CX-068",4,75920,"Card"),</v>
      </c>
      <c r="N84" s="2"/>
      <c r="P84" s="4"/>
    </row>
    <row r="85" spans="1:16" x14ac:dyDescent="0.3">
      <c r="A85" s="2" t="s">
        <v>650</v>
      </c>
      <c r="B85" s="5" t="s">
        <v>1644</v>
      </c>
      <c r="C85" s="2" t="s">
        <v>178</v>
      </c>
      <c r="D85" s="2" t="s">
        <v>362</v>
      </c>
      <c r="E85" s="2">
        <v>5</v>
      </c>
      <c r="F85" s="2">
        <v>258945</v>
      </c>
      <c r="G85" s="2" t="s">
        <v>563</v>
      </c>
      <c r="H85" s="2" t="str">
        <f t="shared" si="1"/>
        <v>("ORD-00084","2025-09-17","BEA-HAI-177","CX-103",5,258945,"Cash"),</v>
      </c>
      <c r="N85" s="2"/>
      <c r="P85" s="4"/>
    </row>
    <row r="86" spans="1:16" x14ac:dyDescent="0.3">
      <c r="A86" s="2" t="s">
        <v>651</v>
      </c>
      <c r="B86" s="5" t="s">
        <v>1578</v>
      </c>
      <c r="C86" s="2" t="s">
        <v>188</v>
      </c>
      <c r="D86" s="2" t="s">
        <v>331</v>
      </c>
      <c r="E86" s="2">
        <v>1</v>
      </c>
      <c r="F86" s="2">
        <v>34519</v>
      </c>
      <c r="G86" s="2" t="s">
        <v>567</v>
      </c>
      <c r="H86" s="2" t="str">
        <f t="shared" si="1"/>
        <v>("ORD-00085","2025-09-20","BEA-MAK-187","CX-116",1,34519,"Wallet"),</v>
      </c>
      <c r="N86" s="2"/>
      <c r="P86" s="4"/>
    </row>
    <row r="87" spans="1:16" x14ac:dyDescent="0.3">
      <c r="A87" s="2" t="s">
        <v>652</v>
      </c>
      <c r="B87" s="5" t="s">
        <v>1645</v>
      </c>
      <c r="C87" s="2" t="s">
        <v>113</v>
      </c>
      <c r="D87" s="2" t="s">
        <v>471</v>
      </c>
      <c r="E87" s="2">
        <v>3</v>
      </c>
      <c r="F87" s="2">
        <v>116403</v>
      </c>
      <c r="G87" s="2" t="s">
        <v>567</v>
      </c>
      <c r="H87" s="2" t="str">
        <f t="shared" si="1"/>
        <v>("ORD-00086","2024-12-07","HOM-FUR-112","CX-046",3,116403,"Wallet"),</v>
      </c>
      <c r="N87" s="2"/>
      <c r="P87" s="4"/>
    </row>
    <row r="88" spans="1:16" x14ac:dyDescent="0.3">
      <c r="A88" s="2" t="s">
        <v>653</v>
      </c>
      <c r="B88" s="5" t="s">
        <v>1646</v>
      </c>
      <c r="C88" s="2" t="s">
        <v>152</v>
      </c>
      <c r="D88" s="2" t="s">
        <v>501</v>
      </c>
      <c r="E88" s="2">
        <v>2</v>
      </c>
      <c r="F88" s="2">
        <v>93482</v>
      </c>
      <c r="G88" s="2" t="s">
        <v>570</v>
      </c>
      <c r="H88" s="2" t="str">
        <f t="shared" si="1"/>
        <v>("ORD-00087","2025-09-13","SPO-ACC-151","CX-030",2,93482,"UPI"),</v>
      </c>
      <c r="N88" s="2"/>
      <c r="P88" s="4"/>
    </row>
    <row r="89" spans="1:16" x14ac:dyDescent="0.3">
      <c r="A89" s="2" t="s">
        <v>654</v>
      </c>
      <c r="B89" s="5" t="s">
        <v>1604</v>
      </c>
      <c r="C89" s="2" t="s">
        <v>120</v>
      </c>
      <c r="D89" s="2" t="s">
        <v>443</v>
      </c>
      <c r="E89" s="2">
        <v>1</v>
      </c>
      <c r="F89" s="2">
        <v>19370</v>
      </c>
      <c r="G89" s="2" t="s">
        <v>570</v>
      </c>
      <c r="H89" s="2" t="str">
        <f t="shared" si="1"/>
        <v>("ORD-00088","2025-07-05","HOM-FUR-119","CX-061",1,19370,"UPI"),</v>
      </c>
      <c r="N89" s="2"/>
      <c r="P89" s="4"/>
    </row>
    <row r="90" spans="1:16" x14ac:dyDescent="0.3">
      <c r="A90" s="2" t="s">
        <v>655</v>
      </c>
      <c r="B90" s="5" t="s">
        <v>1647</v>
      </c>
      <c r="C90" s="2" t="s">
        <v>34</v>
      </c>
      <c r="D90" s="2" t="s">
        <v>397</v>
      </c>
      <c r="E90" s="2">
        <v>5</v>
      </c>
      <c r="F90" s="2">
        <v>175880</v>
      </c>
      <c r="G90" s="2" t="s">
        <v>570</v>
      </c>
      <c r="H90" s="2" t="str">
        <f t="shared" si="1"/>
        <v>("ORD-00089","2025-06-18","ELE-CAM-033","CX-086",5,175880,"UPI"),</v>
      </c>
      <c r="N90" s="2"/>
      <c r="P90" s="4"/>
    </row>
    <row r="91" spans="1:16" x14ac:dyDescent="0.3">
      <c r="A91" s="2" t="s">
        <v>656</v>
      </c>
      <c r="B91" s="5" t="s">
        <v>1648</v>
      </c>
      <c r="C91" s="2" t="s">
        <v>27</v>
      </c>
      <c r="D91" s="2" t="s">
        <v>344</v>
      </c>
      <c r="E91" s="2">
        <v>5</v>
      </c>
      <c r="F91" s="2">
        <v>261130</v>
      </c>
      <c r="G91" s="2" t="s">
        <v>572</v>
      </c>
      <c r="H91" s="2" t="str">
        <f t="shared" si="1"/>
        <v>("ORD-00090","2025-10-10","ELE-ACC-026","CX-111",5,261130,"Card"),</v>
      </c>
      <c r="N91" s="2"/>
      <c r="P91" s="4"/>
    </row>
    <row r="92" spans="1:16" x14ac:dyDescent="0.3">
      <c r="A92" s="2" t="s">
        <v>657</v>
      </c>
      <c r="B92" s="5" t="s">
        <v>1649</v>
      </c>
      <c r="C92" s="2" t="s">
        <v>7</v>
      </c>
      <c r="D92" s="2" t="s">
        <v>527</v>
      </c>
      <c r="E92" s="2">
        <v>2</v>
      </c>
      <c r="F92" s="2">
        <v>100756</v>
      </c>
      <c r="G92" s="2" t="s">
        <v>570</v>
      </c>
      <c r="H92" s="2" t="str">
        <f t="shared" si="1"/>
        <v>("ORD-00091","2025-08-12","ELE-MOB-006","CX-016",2,100756,"UPI"),</v>
      </c>
      <c r="N92" s="2"/>
      <c r="P92" s="4"/>
    </row>
    <row r="93" spans="1:16" x14ac:dyDescent="0.3">
      <c r="A93" s="2" t="s">
        <v>658</v>
      </c>
      <c r="B93" s="5" t="s">
        <v>1605</v>
      </c>
      <c r="C93" s="2" t="s">
        <v>194</v>
      </c>
      <c r="D93" s="2" t="s">
        <v>489</v>
      </c>
      <c r="E93" s="2">
        <v>5</v>
      </c>
      <c r="F93" s="2">
        <v>148110</v>
      </c>
      <c r="G93" s="2" t="s">
        <v>567</v>
      </c>
      <c r="H93" s="2" t="str">
        <f t="shared" si="1"/>
        <v>("ORD-00092","2025-08-16","BEA-FRA-193","CX-036",5,148110,"Wallet"),</v>
      </c>
      <c r="N93" s="2"/>
      <c r="P93" s="4"/>
    </row>
    <row r="94" spans="1:16" x14ac:dyDescent="0.3">
      <c r="A94" s="2" t="s">
        <v>659</v>
      </c>
      <c r="B94" s="5" t="s">
        <v>1650</v>
      </c>
      <c r="C94" s="2" t="s">
        <v>137</v>
      </c>
      <c r="D94" s="2" t="s">
        <v>372</v>
      </c>
      <c r="E94" s="2">
        <v>5</v>
      </c>
      <c r="F94" s="2">
        <v>94455</v>
      </c>
      <c r="G94" s="2" t="s">
        <v>563</v>
      </c>
      <c r="H94" s="2" t="str">
        <f t="shared" si="1"/>
        <v>("ORD-00093","2025-03-03","SPO-OUT-136","CX-098",5,94455,"Cash"),</v>
      </c>
      <c r="N94" s="2"/>
      <c r="P94" s="4"/>
    </row>
    <row r="95" spans="1:16" x14ac:dyDescent="0.3">
      <c r="A95" s="2" t="s">
        <v>660</v>
      </c>
      <c r="B95" s="5" t="s">
        <v>1651</v>
      </c>
      <c r="C95" s="2" t="s">
        <v>143</v>
      </c>
      <c r="D95" s="2" t="s">
        <v>551</v>
      </c>
      <c r="E95" s="2">
        <v>4</v>
      </c>
      <c r="F95" s="2">
        <v>108788</v>
      </c>
      <c r="G95" s="2" t="s">
        <v>563</v>
      </c>
      <c r="H95" s="2" t="str">
        <f t="shared" si="1"/>
        <v>("ORD-00094","2025-09-05","SPO-IND-142","CX-003",4,108788,"Cash"),</v>
      </c>
      <c r="N95" s="2"/>
      <c r="P95" s="4"/>
    </row>
    <row r="96" spans="1:16" x14ac:dyDescent="0.3">
      <c r="A96" s="2" t="s">
        <v>661</v>
      </c>
      <c r="B96" s="5" t="s">
        <v>1652</v>
      </c>
      <c r="C96" s="2" t="s">
        <v>190</v>
      </c>
      <c r="D96" s="2" t="s">
        <v>491</v>
      </c>
      <c r="E96" s="2">
        <v>3</v>
      </c>
      <c r="F96" s="2">
        <v>23679</v>
      </c>
      <c r="G96" s="2" t="s">
        <v>567</v>
      </c>
      <c r="H96" s="2" t="str">
        <f t="shared" si="1"/>
        <v>("ORD-00095","2025-08-31","BEA-MAK-189","CX-035",3,23679,"Wallet"),</v>
      </c>
      <c r="N96" s="2"/>
      <c r="P96" s="4"/>
    </row>
    <row r="97" spans="1:16" x14ac:dyDescent="0.3">
      <c r="A97" s="2" t="s">
        <v>662</v>
      </c>
      <c r="B97" s="5" t="s">
        <v>1653</v>
      </c>
      <c r="C97" s="2" t="s">
        <v>48</v>
      </c>
      <c r="D97" s="2" t="s">
        <v>544</v>
      </c>
      <c r="E97" s="2">
        <v>5</v>
      </c>
      <c r="F97" s="2">
        <v>237675</v>
      </c>
      <c r="G97" s="2" t="s">
        <v>572</v>
      </c>
      <c r="H97" s="2" t="str">
        <f t="shared" si="1"/>
        <v>("ORD-00096","2025-04-30","FAS-MEN-047","CX-007",5,237675,"Card"),</v>
      </c>
      <c r="N97" s="2"/>
      <c r="P97" s="4"/>
    </row>
    <row r="98" spans="1:16" x14ac:dyDescent="0.3">
      <c r="A98" s="2" t="s">
        <v>663</v>
      </c>
      <c r="B98" s="5" t="s">
        <v>1654</v>
      </c>
      <c r="C98" s="2" t="s">
        <v>179</v>
      </c>
      <c r="D98" s="2" t="s">
        <v>539</v>
      </c>
      <c r="E98" s="2">
        <v>4</v>
      </c>
      <c r="F98" s="2">
        <v>140224</v>
      </c>
      <c r="G98" s="2" t="s">
        <v>563</v>
      </c>
      <c r="H98" s="2" t="str">
        <f t="shared" si="1"/>
        <v>("ORD-00097","2025-06-15","BEA-HAI-178","CX-010",4,140224,"Cash"),</v>
      </c>
      <c r="N98" s="2"/>
      <c r="P98" s="4"/>
    </row>
    <row r="99" spans="1:16" x14ac:dyDescent="0.3">
      <c r="A99" s="2" t="s">
        <v>664</v>
      </c>
      <c r="B99" s="5" t="s">
        <v>1655</v>
      </c>
      <c r="C99" s="2" t="s">
        <v>167</v>
      </c>
      <c r="D99" s="2" t="s">
        <v>389</v>
      </c>
      <c r="E99" s="2">
        <v>4</v>
      </c>
      <c r="F99" s="2">
        <v>135588</v>
      </c>
      <c r="G99" s="2" t="s">
        <v>565</v>
      </c>
      <c r="H99" s="2" t="str">
        <f t="shared" si="1"/>
        <v>("ORD-00098","2025-01-03","BEA-SKI-166","CX-090",4,135588,"NetBanking"),</v>
      </c>
      <c r="N99" s="2"/>
      <c r="P99" s="4"/>
    </row>
    <row r="100" spans="1:16" x14ac:dyDescent="0.3">
      <c r="A100" s="2" t="s">
        <v>665</v>
      </c>
      <c r="B100" s="5" t="s">
        <v>1656</v>
      </c>
      <c r="C100" s="2" t="s">
        <v>143</v>
      </c>
      <c r="D100" s="2" t="s">
        <v>378</v>
      </c>
      <c r="E100" s="2">
        <v>5</v>
      </c>
      <c r="F100" s="2">
        <v>135985</v>
      </c>
      <c r="G100" s="2" t="s">
        <v>570</v>
      </c>
      <c r="H100" s="2" t="str">
        <f t="shared" si="1"/>
        <v>("ORD-00099","2025-11-01","SPO-IND-142","CX-095",5,135985,"UPI"),</v>
      </c>
      <c r="N100" s="2"/>
      <c r="P100" s="4"/>
    </row>
    <row r="101" spans="1:16" x14ac:dyDescent="0.3">
      <c r="A101" s="2" t="s">
        <v>666</v>
      </c>
      <c r="B101" s="5" t="s">
        <v>1657</v>
      </c>
      <c r="C101" s="2" t="s">
        <v>64</v>
      </c>
      <c r="D101" s="2" t="s">
        <v>513</v>
      </c>
      <c r="E101" s="2">
        <v>2</v>
      </c>
      <c r="F101" s="2">
        <v>108740</v>
      </c>
      <c r="G101" s="2" t="s">
        <v>565</v>
      </c>
      <c r="H101" s="2" t="str">
        <f t="shared" si="1"/>
        <v>("ORD-00100","2025-06-22","FAS-KID-063","CX-024",2,108740,"NetBanking"),</v>
      </c>
      <c r="N101" s="2"/>
      <c r="P101" s="4"/>
    </row>
    <row r="102" spans="1:16" x14ac:dyDescent="0.3">
      <c r="A102" s="2" t="s">
        <v>667</v>
      </c>
      <c r="B102" s="5" t="s">
        <v>1658</v>
      </c>
      <c r="C102" s="2" t="s">
        <v>145</v>
      </c>
      <c r="D102" s="2" t="s">
        <v>401</v>
      </c>
      <c r="E102" s="2">
        <v>3</v>
      </c>
      <c r="F102" s="2">
        <v>99510</v>
      </c>
      <c r="G102" s="2" t="s">
        <v>570</v>
      </c>
      <c r="H102" s="2" t="str">
        <f t="shared" si="1"/>
        <v>("ORD-00101","2025-01-17","SPO-IND-144","CX-084",3,99510,"UPI"),</v>
      </c>
      <c r="N102" s="2"/>
      <c r="P102" s="4"/>
    </row>
    <row r="103" spans="1:16" x14ac:dyDescent="0.3">
      <c r="A103" s="2" t="s">
        <v>668</v>
      </c>
      <c r="B103" s="5" t="s">
        <v>1659</v>
      </c>
      <c r="C103" s="2" t="s">
        <v>185</v>
      </c>
      <c r="D103" s="2" t="s">
        <v>437</v>
      </c>
      <c r="E103" s="2">
        <v>2</v>
      </c>
      <c r="F103" s="2">
        <v>36904</v>
      </c>
      <c r="G103" s="2" t="s">
        <v>563</v>
      </c>
      <c r="H103" s="2" t="str">
        <f t="shared" si="1"/>
        <v>("ORD-00102","2025-02-22","BEA-MAK-184","CX-064",2,36904,"Cash"),</v>
      </c>
      <c r="N103" s="2"/>
      <c r="P103" s="4"/>
    </row>
    <row r="104" spans="1:16" x14ac:dyDescent="0.3">
      <c r="A104" s="2" t="s">
        <v>669</v>
      </c>
      <c r="B104" s="5" t="s">
        <v>1660</v>
      </c>
      <c r="C104" s="2" t="s">
        <v>68</v>
      </c>
      <c r="D104" s="2" t="s">
        <v>356</v>
      </c>
      <c r="E104" s="2">
        <v>3</v>
      </c>
      <c r="F104" s="2">
        <v>170325</v>
      </c>
      <c r="G104" s="2" t="s">
        <v>572</v>
      </c>
      <c r="H104" s="2" t="str">
        <f t="shared" si="1"/>
        <v>("ORD-00103","2024-12-06","FAS-KID-067","CX-106",3,170325,"Card"),</v>
      </c>
      <c r="N104" s="2"/>
      <c r="P104" s="4"/>
    </row>
    <row r="105" spans="1:16" x14ac:dyDescent="0.3">
      <c r="A105" s="2" t="s">
        <v>670</v>
      </c>
      <c r="B105" s="5" t="s">
        <v>1661</v>
      </c>
      <c r="C105" s="2" t="s">
        <v>39</v>
      </c>
      <c r="D105" s="2" t="s">
        <v>422</v>
      </c>
      <c r="E105" s="2">
        <v>1</v>
      </c>
      <c r="F105" s="2">
        <v>32504</v>
      </c>
      <c r="G105" s="2" t="s">
        <v>565</v>
      </c>
      <c r="H105" s="2" t="str">
        <f t="shared" si="1"/>
        <v>("ORD-00104","2025-05-30","ELE-CAM-038","CX-073",1,32504,"NetBanking"),</v>
      </c>
      <c r="N105" s="2"/>
      <c r="P105" s="4"/>
    </row>
    <row r="106" spans="1:16" x14ac:dyDescent="0.3">
      <c r="A106" s="2" t="s">
        <v>671</v>
      </c>
      <c r="B106" s="5" t="s">
        <v>1662</v>
      </c>
      <c r="C106" s="2" t="s">
        <v>43</v>
      </c>
      <c r="D106" s="2" t="s">
        <v>447</v>
      </c>
      <c r="E106" s="2">
        <v>3</v>
      </c>
      <c r="F106" s="2">
        <v>146445</v>
      </c>
      <c r="G106" s="2" t="s">
        <v>570</v>
      </c>
      <c r="H106" s="2" t="str">
        <f t="shared" si="1"/>
        <v>("ORD-00105","2025-01-21","FAS-MEN-042","CX-059",3,146445,"UPI"),</v>
      </c>
      <c r="N106" s="2"/>
      <c r="P106" s="4"/>
    </row>
    <row r="107" spans="1:16" x14ac:dyDescent="0.3">
      <c r="A107" s="2" t="s">
        <v>672</v>
      </c>
      <c r="B107" s="5" t="s">
        <v>1663</v>
      </c>
      <c r="C107" s="2" t="s">
        <v>2</v>
      </c>
      <c r="D107" s="2" t="s">
        <v>348</v>
      </c>
      <c r="E107" s="2">
        <v>2</v>
      </c>
      <c r="F107" s="2">
        <v>49446</v>
      </c>
      <c r="G107" s="2" t="s">
        <v>565</v>
      </c>
      <c r="H107" s="2" t="str">
        <f t="shared" si="1"/>
        <v>("ORD-00106","2025-01-18","ELE-MOB-001","CX-110",2,49446,"NetBanking"),</v>
      </c>
      <c r="N107" s="2"/>
      <c r="P107" s="4"/>
    </row>
    <row r="108" spans="1:16" x14ac:dyDescent="0.3">
      <c r="A108" s="2" t="s">
        <v>673</v>
      </c>
      <c r="B108" s="5" t="s">
        <v>1664</v>
      </c>
      <c r="C108" s="2" t="s">
        <v>102</v>
      </c>
      <c r="D108" s="2" t="s">
        <v>399</v>
      </c>
      <c r="E108" s="2">
        <v>2</v>
      </c>
      <c r="F108" s="2">
        <v>105466</v>
      </c>
      <c r="G108" s="2" t="s">
        <v>570</v>
      </c>
      <c r="H108" s="2" t="str">
        <f t="shared" si="1"/>
        <v>("ORD-00107","2025-07-08","HOM-APP-101","CX-085",2,105466,"UPI"),</v>
      </c>
      <c r="N108" s="2"/>
      <c r="P108" s="4"/>
    </row>
    <row r="109" spans="1:16" x14ac:dyDescent="0.3">
      <c r="A109" s="2" t="s">
        <v>674</v>
      </c>
      <c r="B109" s="5" t="s">
        <v>1665</v>
      </c>
      <c r="C109" s="2" t="s">
        <v>138</v>
      </c>
      <c r="D109" s="2" t="s">
        <v>427</v>
      </c>
      <c r="E109" s="2">
        <v>2</v>
      </c>
      <c r="F109" s="2">
        <v>24878</v>
      </c>
      <c r="G109" s="2" t="s">
        <v>563</v>
      </c>
      <c r="H109" s="2" t="str">
        <f t="shared" si="1"/>
        <v>("ORD-00108","2025-03-08","SPO-OUT-137","CX-070",2,24878,"Cash"),</v>
      </c>
      <c r="N109" s="2"/>
      <c r="P109" s="4"/>
    </row>
    <row r="110" spans="1:16" x14ac:dyDescent="0.3">
      <c r="A110" s="2" t="s">
        <v>675</v>
      </c>
      <c r="B110" s="5" t="s">
        <v>1666</v>
      </c>
      <c r="C110" s="2" t="s">
        <v>23</v>
      </c>
      <c r="D110" s="2" t="s">
        <v>405</v>
      </c>
      <c r="E110" s="2">
        <v>1</v>
      </c>
      <c r="F110" s="2">
        <v>19693</v>
      </c>
      <c r="G110" s="2" t="s">
        <v>572</v>
      </c>
      <c r="H110" s="2" t="str">
        <f t="shared" si="1"/>
        <v>("ORD-00109","2025-02-23","ELE-ACC-022","CX-082",1,19693,"Card"),</v>
      </c>
      <c r="N110" s="2"/>
      <c r="P110" s="4"/>
    </row>
    <row r="111" spans="1:16" x14ac:dyDescent="0.3">
      <c r="A111" s="2" t="s">
        <v>676</v>
      </c>
      <c r="B111" s="5" t="s">
        <v>1667</v>
      </c>
      <c r="C111" s="2" t="s">
        <v>39</v>
      </c>
      <c r="D111" s="2" t="s">
        <v>431</v>
      </c>
      <c r="E111" s="2">
        <v>3</v>
      </c>
      <c r="F111" s="2">
        <v>97512</v>
      </c>
      <c r="G111" s="2" t="s">
        <v>570</v>
      </c>
      <c r="H111" s="2" t="str">
        <f t="shared" si="1"/>
        <v>("ORD-00110","2025-01-31","ELE-CAM-038","CX-068",3,97512,"UPI"),</v>
      </c>
      <c r="N111" s="2"/>
      <c r="P111" s="4"/>
    </row>
    <row r="112" spans="1:16" x14ac:dyDescent="0.3">
      <c r="A112" s="2" t="s">
        <v>677</v>
      </c>
      <c r="B112" s="5" t="s">
        <v>1668</v>
      </c>
      <c r="C112" s="2" t="s">
        <v>169</v>
      </c>
      <c r="D112" s="2" t="s">
        <v>547</v>
      </c>
      <c r="E112" s="2">
        <v>2</v>
      </c>
      <c r="F112" s="2">
        <v>27160</v>
      </c>
      <c r="G112" s="2" t="s">
        <v>563</v>
      </c>
      <c r="H112" s="2" t="str">
        <f t="shared" si="1"/>
        <v>("ORD-00111","2025-03-04","BEA-SKI-168","CX-005",2,27160,"Cash"),</v>
      </c>
      <c r="N112" s="2"/>
      <c r="P112" s="4"/>
    </row>
    <row r="113" spans="1:16" x14ac:dyDescent="0.3">
      <c r="A113" s="2" t="s">
        <v>678</v>
      </c>
      <c r="B113" s="5" t="s">
        <v>1618</v>
      </c>
      <c r="C113" s="2" t="s">
        <v>54</v>
      </c>
      <c r="D113" s="2" t="s">
        <v>356</v>
      </c>
      <c r="E113" s="2">
        <v>1</v>
      </c>
      <c r="F113" s="2">
        <v>8052</v>
      </c>
      <c r="G113" s="2" t="s">
        <v>567</v>
      </c>
      <c r="H113" s="2" t="str">
        <f t="shared" si="1"/>
        <v>("ORD-00112","2025-04-23","FAS-WOM-053","CX-106",1,8052,"Wallet"),</v>
      </c>
      <c r="N113" s="2"/>
      <c r="P113" s="4"/>
    </row>
    <row r="114" spans="1:16" x14ac:dyDescent="0.3">
      <c r="A114" s="2" t="s">
        <v>679</v>
      </c>
      <c r="B114" s="5" t="s">
        <v>1599</v>
      </c>
      <c r="C114" s="2" t="s">
        <v>125</v>
      </c>
      <c r="D114" s="2" t="s">
        <v>376</v>
      </c>
      <c r="E114" s="2">
        <v>1</v>
      </c>
      <c r="F114" s="2">
        <v>11833</v>
      </c>
      <c r="G114" s="2" t="s">
        <v>567</v>
      </c>
      <c r="H114" s="2" t="str">
        <f t="shared" si="1"/>
        <v>("ORD-00113","2025-05-26","SPO-FIT-124","CX-096",1,11833,"Wallet"),</v>
      </c>
      <c r="N114" s="2"/>
      <c r="P114" s="4"/>
    </row>
    <row r="115" spans="1:16" x14ac:dyDescent="0.3">
      <c r="A115" s="2" t="s">
        <v>680</v>
      </c>
      <c r="B115" s="5" t="s">
        <v>1669</v>
      </c>
      <c r="C115" s="2" t="s">
        <v>14</v>
      </c>
      <c r="D115" s="2" t="s">
        <v>458</v>
      </c>
      <c r="E115" s="2">
        <v>4</v>
      </c>
      <c r="F115" s="2">
        <v>141280</v>
      </c>
      <c r="G115" s="2" t="s">
        <v>565</v>
      </c>
      <c r="H115" s="2" t="str">
        <f t="shared" si="1"/>
        <v>("ORD-00114","2025-08-14","ELE-LAP-013","CX-053",4,141280,"NetBanking"),</v>
      </c>
      <c r="N115" s="2"/>
      <c r="P115" s="4"/>
    </row>
    <row r="116" spans="1:16" x14ac:dyDescent="0.3">
      <c r="A116" s="2" t="s">
        <v>681</v>
      </c>
      <c r="B116" s="5" t="s">
        <v>1670</v>
      </c>
      <c r="C116" s="2" t="s">
        <v>99</v>
      </c>
      <c r="D116" s="2" t="s">
        <v>401</v>
      </c>
      <c r="E116" s="2">
        <v>2</v>
      </c>
      <c r="F116" s="2">
        <v>66412</v>
      </c>
      <c r="G116" s="2" t="s">
        <v>563</v>
      </c>
      <c r="H116" s="2" t="str">
        <f t="shared" si="1"/>
        <v>("ORD-00115","2025-09-27","HOM-DEC-098","CX-084",2,66412,"Cash"),</v>
      </c>
      <c r="N116" s="2"/>
      <c r="P116" s="4"/>
    </row>
    <row r="117" spans="1:16" x14ac:dyDescent="0.3">
      <c r="A117" s="2" t="s">
        <v>682</v>
      </c>
      <c r="B117" s="5" t="s">
        <v>1671</v>
      </c>
      <c r="C117" s="2" t="s">
        <v>2</v>
      </c>
      <c r="D117" s="2" t="s">
        <v>522</v>
      </c>
      <c r="E117" s="2">
        <v>5</v>
      </c>
      <c r="F117" s="2">
        <v>123615</v>
      </c>
      <c r="G117" s="2" t="s">
        <v>572</v>
      </c>
      <c r="H117" s="2" t="str">
        <f t="shared" si="1"/>
        <v>("ORD-00116","2025-10-24","ELE-MOB-001","CX-019",5,123615,"Card"),</v>
      </c>
      <c r="N117" s="2"/>
      <c r="P117" s="4"/>
    </row>
    <row r="118" spans="1:16" x14ac:dyDescent="0.3">
      <c r="A118" s="2" t="s">
        <v>683</v>
      </c>
      <c r="B118" s="5" t="s">
        <v>1672</v>
      </c>
      <c r="C118" s="2" t="s">
        <v>6</v>
      </c>
      <c r="D118" s="2" t="s">
        <v>527</v>
      </c>
      <c r="E118" s="2">
        <v>3</v>
      </c>
      <c r="F118" s="2">
        <v>48939</v>
      </c>
      <c r="G118" s="2" t="s">
        <v>567</v>
      </c>
      <c r="H118" s="2" t="str">
        <f t="shared" si="1"/>
        <v>("ORD-00117","2024-12-26","ELE-MOB-005","CX-016",3,48939,"Wallet"),</v>
      </c>
      <c r="N118" s="2"/>
      <c r="P118" s="4"/>
    </row>
    <row r="119" spans="1:16" x14ac:dyDescent="0.3">
      <c r="A119" s="2" t="s">
        <v>684</v>
      </c>
      <c r="B119" s="5" t="s">
        <v>1673</v>
      </c>
      <c r="C119" s="2" t="s">
        <v>32</v>
      </c>
      <c r="D119" s="2" t="s">
        <v>426</v>
      </c>
      <c r="E119" s="2">
        <v>3</v>
      </c>
      <c r="F119" s="2">
        <v>57723</v>
      </c>
      <c r="G119" s="2" t="s">
        <v>567</v>
      </c>
      <c r="H119" s="2" t="str">
        <f t="shared" si="1"/>
        <v>("ORD-00118","2025-04-12","ELE-CAM-031","CX-071",3,57723,"Wallet"),</v>
      </c>
      <c r="N119" s="2"/>
      <c r="P119" s="4"/>
    </row>
    <row r="120" spans="1:16" x14ac:dyDescent="0.3">
      <c r="A120" s="2" t="s">
        <v>685</v>
      </c>
      <c r="B120" s="5" t="s">
        <v>1648</v>
      </c>
      <c r="C120" s="2" t="s">
        <v>162</v>
      </c>
      <c r="D120" s="2" t="s">
        <v>450</v>
      </c>
      <c r="E120" s="2">
        <v>3</v>
      </c>
      <c r="F120" s="2">
        <v>65562</v>
      </c>
      <c r="G120" s="2" t="s">
        <v>570</v>
      </c>
      <c r="H120" s="2" t="str">
        <f t="shared" si="1"/>
        <v>("ORD-00119","2025-10-10","BEA-SKI-161","CX-057",3,65562,"UPI"),</v>
      </c>
      <c r="N120" s="2"/>
      <c r="P120" s="4"/>
    </row>
    <row r="121" spans="1:16" x14ac:dyDescent="0.3">
      <c r="A121" s="2" t="s">
        <v>686</v>
      </c>
      <c r="B121" s="5" t="s">
        <v>1674</v>
      </c>
      <c r="C121" s="2" t="s">
        <v>157</v>
      </c>
      <c r="D121" s="2" t="s">
        <v>486</v>
      </c>
      <c r="E121" s="2">
        <v>5</v>
      </c>
      <c r="F121" s="2">
        <v>19330</v>
      </c>
      <c r="G121" s="2" t="s">
        <v>565</v>
      </c>
      <c r="H121" s="2" t="str">
        <f t="shared" si="1"/>
        <v>("ORD-00120","2025-05-04","SPO-ACC-156","CX-038",5,19330,"NetBanking"),</v>
      </c>
      <c r="N121" s="2"/>
      <c r="P121" s="4"/>
    </row>
    <row r="122" spans="1:16" x14ac:dyDescent="0.3">
      <c r="A122" s="2" t="s">
        <v>687</v>
      </c>
      <c r="B122" s="5" t="s">
        <v>1675</v>
      </c>
      <c r="C122" s="2" t="s">
        <v>194</v>
      </c>
      <c r="D122" s="2" t="s">
        <v>437</v>
      </c>
      <c r="E122" s="2">
        <v>2</v>
      </c>
      <c r="F122" s="2">
        <v>59244</v>
      </c>
      <c r="G122" s="2" t="s">
        <v>563</v>
      </c>
      <c r="H122" s="2" t="str">
        <f t="shared" si="1"/>
        <v>("ORD-00121","2025-09-26","BEA-FRA-193","CX-064",2,59244,"Cash"),</v>
      </c>
      <c r="N122" s="2"/>
      <c r="P122" s="4"/>
    </row>
    <row r="123" spans="1:16" x14ac:dyDescent="0.3">
      <c r="A123" s="2" t="s">
        <v>688</v>
      </c>
      <c r="B123" s="5" t="s">
        <v>1676</v>
      </c>
      <c r="C123" s="2" t="s">
        <v>66</v>
      </c>
      <c r="D123" s="2" t="s">
        <v>372</v>
      </c>
      <c r="E123" s="2">
        <v>1</v>
      </c>
      <c r="F123" s="2">
        <v>13002</v>
      </c>
      <c r="G123" s="2" t="s">
        <v>565</v>
      </c>
      <c r="H123" s="2" t="str">
        <f t="shared" si="1"/>
        <v>("ORD-00122","2025-03-29","FAS-KID-065","CX-098",1,13002,"NetBanking"),</v>
      </c>
      <c r="N123" s="2"/>
      <c r="P123" s="4"/>
    </row>
    <row r="124" spans="1:16" x14ac:dyDescent="0.3">
      <c r="A124" s="2" t="s">
        <v>689</v>
      </c>
      <c r="B124" s="5" t="s">
        <v>1633</v>
      </c>
      <c r="C124" s="2" t="s">
        <v>26</v>
      </c>
      <c r="D124" s="2" t="s">
        <v>541</v>
      </c>
      <c r="E124" s="2">
        <v>4</v>
      </c>
      <c r="F124" s="2">
        <v>116712</v>
      </c>
      <c r="G124" s="2" t="s">
        <v>572</v>
      </c>
      <c r="H124" s="2" t="str">
        <f t="shared" si="1"/>
        <v>("ORD-00123","2025-02-17","ELE-ACC-025","CX-009",4,116712,"Card"),</v>
      </c>
      <c r="N124" s="2"/>
      <c r="P124" s="4"/>
    </row>
    <row r="125" spans="1:16" x14ac:dyDescent="0.3">
      <c r="A125" s="2" t="s">
        <v>690</v>
      </c>
      <c r="B125" s="5" t="s">
        <v>1677</v>
      </c>
      <c r="C125" s="2" t="s">
        <v>118</v>
      </c>
      <c r="D125" s="2" t="s">
        <v>529</v>
      </c>
      <c r="E125" s="2">
        <v>3</v>
      </c>
      <c r="F125" s="2">
        <v>8697</v>
      </c>
      <c r="G125" s="2" t="s">
        <v>570</v>
      </c>
      <c r="H125" s="2" t="str">
        <f t="shared" si="1"/>
        <v>("ORD-00124","2025-08-18","HOM-FUR-117","CX-015",3,8697,"UPI"),</v>
      </c>
      <c r="N125" s="2"/>
      <c r="P125" s="4"/>
    </row>
    <row r="126" spans="1:16" x14ac:dyDescent="0.3">
      <c r="A126" s="2" t="s">
        <v>691</v>
      </c>
      <c r="B126" s="5" t="s">
        <v>1578</v>
      </c>
      <c r="C126" s="2" t="s">
        <v>126</v>
      </c>
      <c r="D126" s="2" t="s">
        <v>335</v>
      </c>
      <c r="E126" s="2">
        <v>3</v>
      </c>
      <c r="F126" s="2">
        <v>30372</v>
      </c>
      <c r="G126" s="2" t="s">
        <v>572</v>
      </c>
      <c r="H126" s="2" t="str">
        <f t="shared" si="1"/>
        <v>("ORD-00125","2025-09-20","SPO-FIT-125","CX-115",3,30372,"Card"),</v>
      </c>
      <c r="N126" s="2"/>
      <c r="P126" s="4"/>
    </row>
    <row r="127" spans="1:16" x14ac:dyDescent="0.3">
      <c r="A127" s="2" t="s">
        <v>692</v>
      </c>
      <c r="B127" s="5" t="s">
        <v>1678</v>
      </c>
      <c r="C127" s="2" t="s">
        <v>151</v>
      </c>
      <c r="D127" s="2" t="s">
        <v>322</v>
      </c>
      <c r="E127" s="2">
        <v>5</v>
      </c>
      <c r="F127" s="2">
        <v>148060</v>
      </c>
      <c r="G127" s="2" t="s">
        <v>563</v>
      </c>
      <c r="H127" s="2" t="str">
        <f t="shared" si="1"/>
        <v>("ORD-00126","2025-10-14","SPO-IND-150","CX-119",5,148060,"Cash"),</v>
      </c>
      <c r="N127" s="2"/>
      <c r="P127" s="4"/>
    </row>
    <row r="128" spans="1:16" x14ac:dyDescent="0.3">
      <c r="A128" s="2" t="s">
        <v>693</v>
      </c>
      <c r="B128" s="5" t="s">
        <v>1608</v>
      </c>
      <c r="C128" s="2" t="s">
        <v>66</v>
      </c>
      <c r="D128" s="2" t="s">
        <v>370</v>
      </c>
      <c r="E128" s="2">
        <v>3</v>
      </c>
      <c r="F128" s="2">
        <v>39006</v>
      </c>
      <c r="G128" s="2" t="s">
        <v>563</v>
      </c>
      <c r="H128" s="2" t="str">
        <f t="shared" si="1"/>
        <v>("ORD-00127","2025-10-28","FAS-KID-065","CX-099",3,39006,"Cash"),</v>
      </c>
      <c r="N128" s="2"/>
      <c r="P128" s="4"/>
    </row>
    <row r="129" spans="1:16" x14ac:dyDescent="0.3">
      <c r="A129" s="2" t="s">
        <v>694</v>
      </c>
      <c r="B129" s="5" t="s">
        <v>1679</v>
      </c>
      <c r="C129" s="2" t="s">
        <v>88</v>
      </c>
      <c r="D129" s="2" t="s">
        <v>546</v>
      </c>
      <c r="E129" s="2">
        <v>4</v>
      </c>
      <c r="F129" s="2">
        <v>169368</v>
      </c>
      <c r="G129" s="2" t="s">
        <v>563</v>
      </c>
      <c r="H129" s="2" t="str">
        <f t="shared" si="1"/>
        <v>("ORD-00128","2025-11-02","HOM-KIT-087","CX-006",4,169368,"Cash"),</v>
      </c>
      <c r="N129" s="2"/>
      <c r="P129" s="4"/>
    </row>
    <row r="130" spans="1:16" x14ac:dyDescent="0.3">
      <c r="A130" s="2" t="s">
        <v>695</v>
      </c>
      <c r="B130" s="5" t="s">
        <v>1680</v>
      </c>
      <c r="C130" s="2" t="s">
        <v>179</v>
      </c>
      <c r="D130" s="2" t="s">
        <v>533</v>
      </c>
      <c r="E130" s="2">
        <v>2</v>
      </c>
      <c r="F130" s="2">
        <v>70112</v>
      </c>
      <c r="G130" s="2" t="s">
        <v>570</v>
      </c>
      <c r="H130" s="2" t="str">
        <f t="shared" si="1"/>
        <v>("ORD-00129","2025-11-25","BEA-HAI-178","CX-013",2,70112,"UPI"),</v>
      </c>
      <c r="N130" s="2"/>
      <c r="P130" s="4"/>
    </row>
    <row r="131" spans="1:16" x14ac:dyDescent="0.3">
      <c r="A131" s="2" t="s">
        <v>696</v>
      </c>
      <c r="B131" s="5" t="s">
        <v>1634</v>
      </c>
      <c r="C131" s="2" t="s">
        <v>112</v>
      </c>
      <c r="D131" s="2" t="s">
        <v>520</v>
      </c>
      <c r="E131" s="2">
        <v>2</v>
      </c>
      <c r="F131" s="2">
        <v>111800</v>
      </c>
      <c r="G131" s="2" t="s">
        <v>563</v>
      </c>
      <c r="H131" s="2" t="str">
        <f t="shared" ref="H131:H194" si="2">"("""&amp;A131&amp;""","""&amp;B131&amp;""","""&amp;C131&amp;""","""&amp;D131&amp;""","&amp;E131&amp;","&amp;F131&amp;","""&amp;G131&amp;"""),"</f>
        <v>("ORD-00130","2025-01-12","HOM-FUR-111","CX-020",2,111800,"Cash"),</v>
      </c>
      <c r="N131" s="2"/>
      <c r="P131" s="4"/>
    </row>
    <row r="132" spans="1:16" x14ac:dyDescent="0.3">
      <c r="A132" s="2" t="s">
        <v>697</v>
      </c>
      <c r="B132" s="5" t="s">
        <v>1681</v>
      </c>
      <c r="C132" s="2" t="s">
        <v>93</v>
      </c>
      <c r="D132" s="2" t="s">
        <v>384</v>
      </c>
      <c r="E132" s="2">
        <v>5</v>
      </c>
      <c r="F132" s="2">
        <v>9535</v>
      </c>
      <c r="G132" s="2" t="s">
        <v>572</v>
      </c>
      <c r="H132" s="2" t="str">
        <f t="shared" si="2"/>
        <v>("ORD-00131","2025-11-12","HOM-DEC-092","CX-092",5,9535,"Card"),</v>
      </c>
      <c r="N132" s="2"/>
      <c r="P132" s="4"/>
    </row>
    <row r="133" spans="1:16" x14ac:dyDescent="0.3">
      <c r="A133" s="2" t="s">
        <v>698</v>
      </c>
      <c r="B133" s="5" t="s">
        <v>1672</v>
      </c>
      <c r="C133" s="2" t="s">
        <v>61</v>
      </c>
      <c r="D133" s="2" t="s">
        <v>426</v>
      </c>
      <c r="E133" s="2">
        <v>1</v>
      </c>
      <c r="F133" s="2">
        <v>50880</v>
      </c>
      <c r="G133" s="2" t="s">
        <v>570</v>
      </c>
      <c r="H133" s="2" t="str">
        <f t="shared" si="2"/>
        <v>("ORD-00132","2024-12-26","FAS-WOM-060","CX-071",1,50880,"UPI"),</v>
      </c>
      <c r="N133" s="2"/>
      <c r="P133" s="4"/>
    </row>
    <row r="134" spans="1:16" x14ac:dyDescent="0.3">
      <c r="A134" s="2" t="s">
        <v>699</v>
      </c>
      <c r="B134" s="5" t="s">
        <v>1682</v>
      </c>
      <c r="C134" s="2" t="s">
        <v>104</v>
      </c>
      <c r="D134" s="2" t="s">
        <v>391</v>
      </c>
      <c r="E134" s="2">
        <v>4</v>
      </c>
      <c r="F134" s="2">
        <v>145324</v>
      </c>
      <c r="G134" s="2" t="s">
        <v>567</v>
      </c>
      <c r="H134" s="2" t="str">
        <f t="shared" si="2"/>
        <v>("ORD-00133","2025-02-26","HOM-APP-103","CX-089",4,145324,"Wallet"),</v>
      </c>
      <c r="N134" s="2"/>
      <c r="P134" s="4"/>
    </row>
    <row r="135" spans="1:16" x14ac:dyDescent="0.3">
      <c r="A135" s="2" t="s">
        <v>700</v>
      </c>
      <c r="B135" s="5" t="s">
        <v>1683</v>
      </c>
      <c r="C135" s="2" t="s">
        <v>148</v>
      </c>
      <c r="D135" s="2" t="s">
        <v>339</v>
      </c>
      <c r="E135" s="2">
        <v>1</v>
      </c>
      <c r="F135" s="2">
        <v>27466</v>
      </c>
      <c r="G135" s="2" t="s">
        <v>567</v>
      </c>
      <c r="H135" s="2" t="str">
        <f t="shared" si="2"/>
        <v>("ORD-00134","2025-08-04","SPO-IND-147","CX-113",1,27466,"Wallet"),</v>
      </c>
      <c r="N135" s="2"/>
      <c r="P135" s="4"/>
    </row>
    <row r="136" spans="1:16" x14ac:dyDescent="0.3">
      <c r="A136" s="2" t="s">
        <v>701</v>
      </c>
      <c r="B136" s="5" t="s">
        <v>1684</v>
      </c>
      <c r="C136" s="2" t="s">
        <v>82</v>
      </c>
      <c r="D136" s="2" t="s">
        <v>393</v>
      </c>
      <c r="E136" s="2">
        <v>5</v>
      </c>
      <c r="F136" s="2">
        <v>101015</v>
      </c>
      <c r="G136" s="2" t="s">
        <v>567</v>
      </c>
      <c r="H136" s="2" t="str">
        <f t="shared" si="2"/>
        <v>("ORD-00135","2025-08-10","HOM-KIT-081","CX-088",5,101015,"Wallet"),</v>
      </c>
      <c r="N136" s="2"/>
      <c r="P136" s="4"/>
    </row>
    <row r="137" spans="1:16" x14ac:dyDescent="0.3">
      <c r="A137" s="2" t="s">
        <v>702</v>
      </c>
      <c r="B137" s="5" t="s">
        <v>1685</v>
      </c>
      <c r="C137" s="2" t="s">
        <v>118</v>
      </c>
      <c r="D137" s="2" t="s">
        <v>358</v>
      </c>
      <c r="E137" s="2">
        <v>5</v>
      </c>
      <c r="F137" s="2">
        <v>14495</v>
      </c>
      <c r="G137" s="2" t="s">
        <v>567</v>
      </c>
      <c r="H137" s="2" t="str">
        <f t="shared" si="2"/>
        <v>("ORD-00136","2024-12-01","HOM-FUR-117","CX-105",5,14495,"Wallet"),</v>
      </c>
      <c r="N137" s="2"/>
      <c r="P137" s="4"/>
    </row>
    <row r="138" spans="1:16" x14ac:dyDescent="0.3">
      <c r="A138" s="2" t="s">
        <v>703</v>
      </c>
      <c r="B138" s="5" t="s">
        <v>1686</v>
      </c>
      <c r="C138" s="2" t="s">
        <v>153</v>
      </c>
      <c r="D138" s="2" t="s">
        <v>441</v>
      </c>
      <c r="E138" s="2">
        <v>2</v>
      </c>
      <c r="F138" s="2">
        <v>26346</v>
      </c>
      <c r="G138" s="2" t="s">
        <v>570</v>
      </c>
      <c r="H138" s="2" t="str">
        <f t="shared" si="2"/>
        <v>("ORD-00137","2025-04-13","SPO-ACC-152","CX-062",2,26346,"UPI"),</v>
      </c>
      <c r="N138" s="2"/>
      <c r="P138" s="4"/>
    </row>
    <row r="139" spans="1:16" x14ac:dyDescent="0.3">
      <c r="A139" s="2" t="s">
        <v>704</v>
      </c>
      <c r="B139" s="5" t="s">
        <v>1687</v>
      </c>
      <c r="C139" s="2" t="s">
        <v>128</v>
      </c>
      <c r="D139" s="2" t="s">
        <v>495</v>
      </c>
      <c r="E139" s="2">
        <v>2</v>
      </c>
      <c r="F139" s="2">
        <v>414</v>
      </c>
      <c r="G139" s="2" t="s">
        <v>563</v>
      </c>
      <c r="H139" s="2" t="str">
        <f t="shared" si="2"/>
        <v>("ORD-00138","2024-12-25","SPO-FIT-127","CX-033",2,414,"Cash"),</v>
      </c>
      <c r="N139" s="2"/>
      <c r="P139" s="4"/>
    </row>
    <row r="140" spans="1:16" x14ac:dyDescent="0.3">
      <c r="A140" s="2" t="s">
        <v>705</v>
      </c>
      <c r="B140" s="5" t="s">
        <v>1688</v>
      </c>
      <c r="C140" s="2" t="s">
        <v>184</v>
      </c>
      <c r="D140" s="2" t="s">
        <v>475</v>
      </c>
      <c r="E140" s="2">
        <v>4</v>
      </c>
      <c r="F140" s="2">
        <v>24336</v>
      </c>
      <c r="G140" s="2" t="s">
        <v>567</v>
      </c>
      <c r="H140" s="2" t="str">
        <f t="shared" si="2"/>
        <v>("ORD-00139","2025-10-19","BEA-MAK-183","CX-044",4,24336,"Wallet"),</v>
      </c>
      <c r="N140" s="2"/>
      <c r="P140" s="4"/>
    </row>
    <row r="141" spans="1:16" x14ac:dyDescent="0.3">
      <c r="A141" s="2" t="s">
        <v>706</v>
      </c>
      <c r="B141" s="5" t="s">
        <v>1689</v>
      </c>
      <c r="C141" s="2" t="s">
        <v>103</v>
      </c>
      <c r="D141" s="2" t="s">
        <v>433</v>
      </c>
      <c r="E141" s="2">
        <v>4</v>
      </c>
      <c r="F141" s="2">
        <v>7396</v>
      </c>
      <c r="G141" s="2" t="s">
        <v>565</v>
      </c>
      <c r="H141" s="2" t="str">
        <f t="shared" si="2"/>
        <v>("ORD-00140","2024-12-16","HOM-APP-102","CX-067",4,7396,"NetBanking"),</v>
      </c>
      <c r="N141" s="2"/>
      <c r="P141" s="4"/>
    </row>
    <row r="142" spans="1:16" x14ac:dyDescent="0.3">
      <c r="A142" s="2" t="s">
        <v>707</v>
      </c>
      <c r="B142" s="5" t="s">
        <v>1671</v>
      </c>
      <c r="C142" s="2" t="s">
        <v>137</v>
      </c>
      <c r="D142" s="2" t="s">
        <v>539</v>
      </c>
      <c r="E142" s="2">
        <v>5</v>
      </c>
      <c r="F142" s="2">
        <v>94455</v>
      </c>
      <c r="G142" s="2" t="s">
        <v>570</v>
      </c>
      <c r="H142" s="2" t="str">
        <f t="shared" si="2"/>
        <v>("ORD-00141","2025-10-24","SPO-OUT-136","CX-010",5,94455,"UPI"),</v>
      </c>
      <c r="N142" s="2"/>
      <c r="P142" s="4"/>
    </row>
    <row r="143" spans="1:16" x14ac:dyDescent="0.3">
      <c r="A143" s="2" t="s">
        <v>708</v>
      </c>
      <c r="B143" s="5" t="s">
        <v>1671</v>
      </c>
      <c r="C143" s="2" t="s">
        <v>86</v>
      </c>
      <c r="D143" s="2" t="s">
        <v>441</v>
      </c>
      <c r="E143" s="2">
        <v>4</v>
      </c>
      <c r="F143" s="2">
        <v>100744</v>
      </c>
      <c r="G143" s="2" t="s">
        <v>565</v>
      </c>
      <c r="H143" s="2" t="str">
        <f t="shared" si="2"/>
        <v>("ORD-00142","2025-10-24","HOM-KIT-085","CX-062",4,100744,"NetBanking"),</v>
      </c>
      <c r="N143" s="2"/>
      <c r="P143" s="4"/>
    </row>
    <row r="144" spans="1:16" x14ac:dyDescent="0.3">
      <c r="A144" s="2" t="s">
        <v>709</v>
      </c>
      <c r="B144" s="5" t="s">
        <v>1690</v>
      </c>
      <c r="C144" s="2" t="s">
        <v>53</v>
      </c>
      <c r="D144" s="2" t="s">
        <v>418</v>
      </c>
      <c r="E144" s="2">
        <v>4</v>
      </c>
      <c r="F144" s="2">
        <v>61864</v>
      </c>
      <c r="G144" s="2" t="s">
        <v>563</v>
      </c>
      <c r="H144" s="2" t="str">
        <f t="shared" si="2"/>
        <v>("ORD-00143","2025-10-13","FAS-WOM-052","CX-075",4,61864,"Cash"),</v>
      </c>
      <c r="N144" s="2"/>
      <c r="P144" s="4"/>
    </row>
    <row r="145" spans="1:16" x14ac:dyDescent="0.3">
      <c r="A145" s="2" t="s">
        <v>710</v>
      </c>
      <c r="B145" s="5" t="s">
        <v>1619</v>
      </c>
      <c r="C145" s="2" t="s">
        <v>87</v>
      </c>
      <c r="D145" s="2" t="s">
        <v>416</v>
      </c>
      <c r="E145" s="2">
        <v>1</v>
      </c>
      <c r="F145" s="2">
        <v>50029</v>
      </c>
      <c r="G145" s="2" t="s">
        <v>567</v>
      </c>
      <c r="H145" s="2" t="str">
        <f t="shared" si="2"/>
        <v>("ORD-00144","2025-01-30","HOM-KIT-086","CX-076",1,50029,"Wallet"),</v>
      </c>
      <c r="N145" s="2"/>
      <c r="P145" s="4"/>
    </row>
    <row r="146" spans="1:16" x14ac:dyDescent="0.3">
      <c r="A146" s="2" t="s">
        <v>711</v>
      </c>
      <c r="B146" s="5" t="s">
        <v>1631</v>
      </c>
      <c r="C146" s="2" t="s">
        <v>196</v>
      </c>
      <c r="D146" s="2" t="s">
        <v>435</v>
      </c>
      <c r="E146" s="2">
        <v>3</v>
      </c>
      <c r="F146" s="2">
        <v>176130</v>
      </c>
      <c r="G146" s="2" t="s">
        <v>563</v>
      </c>
      <c r="H146" s="2" t="str">
        <f t="shared" si="2"/>
        <v>("ORD-00145","2025-03-24","BEA-FRA-195","CX-066",3,176130,"Cash"),</v>
      </c>
      <c r="N146" s="2"/>
      <c r="P146" s="4"/>
    </row>
    <row r="147" spans="1:16" x14ac:dyDescent="0.3">
      <c r="A147" s="2" t="s">
        <v>712</v>
      </c>
      <c r="B147" s="5" t="s">
        <v>1691</v>
      </c>
      <c r="C147" s="2" t="s">
        <v>66</v>
      </c>
      <c r="D147" s="2" t="s">
        <v>495</v>
      </c>
      <c r="E147" s="2">
        <v>3</v>
      </c>
      <c r="F147" s="2">
        <v>39006</v>
      </c>
      <c r="G147" s="2" t="s">
        <v>565</v>
      </c>
      <c r="H147" s="2" t="str">
        <f t="shared" si="2"/>
        <v>("ORD-00146","2025-06-05","FAS-KID-065","CX-033",3,39006,"NetBanking"),</v>
      </c>
      <c r="N147" s="2"/>
      <c r="P147" s="4"/>
    </row>
    <row r="148" spans="1:16" x14ac:dyDescent="0.3">
      <c r="A148" s="2" t="s">
        <v>713</v>
      </c>
      <c r="B148" s="5" t="s">
        <v>1692</v>
      </c>
      <c r="C148" s="2" t="s">
        <v>108</v>
      </c>
      <c r="D148" s="2" t="s">
        <v>546</v>
      </c>
      <c r="E148" s="2">
        <v>1</v>
      </c>
      <c r="F148" s="2">
        <v>43274</v>
      </c>
      <c r="G148" s="2" t="s">
        <v>572</v>
      </c>
      <c r="H148" s="2" t="str">
        <f t="shared" si="2"/>
        <v>("ORD-00147","2025-02-15","HOM-APP-107","CX-006",1,43274,"Card"),</v>
      </c>
      <c r="N148" s="2"/>
      <c r="P148" s="4"/>
    </row>
    <row r="149" spans="1:16" x14ac:dyDescent="0.3">
      <c r="A149" s="2" t="s">
        <v>714</v>
      </c>
      <c r="B149" s="5" t="s">
        <v>1693</v>
      </c>
      <c r="C149" s="2" t="s">
        <v>193</v>
      </c>
      <c r="D149" s="2" t="s">
        <v>399</v>
      </c>
      <c r="E149" s="2">
        <v>3</v>
      </c>
      <c r="F149" s="2">
        <v>109173</v>
      </c>
      <c r="G149" s="2" t="s">
        <v>572</v>
      </c>
      <c r="H149" s="2" t="str">
        <f t="shared" si="2"/>
        <v>("ORD-00148","2025-05-27","BEA-FRA-192","CX-085",3,109173,"Card"),</v>
      </c>
      <c r="N149" s="2"/>
      <c r="P149" s="4"/>
    </row>
    <row r="150" spans="1:16" x14ac:dyDescent="0.3">
      <c r="A150" s="2" t="s">
        <v>715</v>
      </c>
      <c r="B150" s="5" t="s">
        <v>1694</v>
      </c>
      <c r="C150" s="2" t="s">
        <v>158</v>
      </c>
      <c r="D150" s="2" t="s">
        <v>462</v>
      </c>
      <c r="E150" s="2">
        <v>4</v>
      </c>
      <c r="F150" s="2">
        <v>75920</v>
      </c>
      <c r="G150" s="2" t="s">
        <v>572</v>
      </c>
      <c r="H150" s="2" t="str">
        <f t="shared" si="2"/>
        <v>("ORD-00149","2025-04-05","SPO-ACC-157","CX-051",4,75920,"Card"),</v>
      </c>
      <c r="N150" s="2"/>
      <c r="P150" s="4"/>
    </row>
    <row r="151" spans="1:16" x14ac:dyDescent="0.3">
      <c r="A151" s="2" t="s">
        <v>716</v>
      </c>
      <c r="B151" s="5" t="s">
        <v>1689</v>
      </c>
      <c r="C151" s="2" t="s">
        <v>76</v>
      </c>
      <c r="D151" s="2" t="s">
        <v>518</v>
      </c>
      <c r="E151" s="2">
        <v>5</v>
      </c>
      <c r="F151" s="2">
        <v>243910</v>
      </c>
      <c r="G151" s="2" t="s">
        <v>572</v>
      </c>
      <c r="H151" s="2" t="str">
        <f t="shared" si="2"/>
        <v>("ORD-00150","2024-12-16","FAS-FOO-075","CX-021",5,243910,"Card"),</v>
      </c>
      <c r="N151" s="2"/>
      <c r="P151" s="4"/>
    </row>
    <row r="152" spans="1:16" x14ac:dyDescent="0.3">
      <c r="A152" s="2" t="s">
        <v>717</v>
      </c>
      <c r="B152" s="5" t="s">
        <v>1578</v>
      </c>
      <c r="C152" s="2" t="s">
        <v>75</v>
      </c>
      <c r="D152" s="2" t="s">
        <v>403</v>
      </c>
      <c r="E152" s="2">
        <v>2</v>
      </c>
      <c r="F152" s="2">
        <v>22740</v>
      </c>
      <c r="G152" s="2" t="s">
        <v>565</v>
      </c>
      <c r="H152" s="2" t="str">
        <f t="shared" si="2"/>
        <v>("ORD-00151","2025-09-20","FAS-FOO-074","CX-083",2,22740,"NetBanking"),</v>
      </c>
      <c r="N152" s="2"/>
      <c r="P152" s="4"/>
    </row>
    <row r="153" spans="1:16" x14ac:dyDescent="0.3">
      <c r="A153" s="2" t="s">
        <v>718</v>
      </c>
      <c r="B153" s="5" t="s">
        <v>1695</v>
      </c>
      <c r="C153" s="2" t="s">
        <v>195</v>
      </c>
      <c r="D153" s="2" t="s">
        <v>364</v>
      </c>
      <c r="E153" s="2">
        <v>5</v>
      </c>
      <c r="F153" s="2">
        <v>174940</v>
      </c>
      <c r="G153" s="2" t="s">
        <v>563</v>
      </c>
      <c r="H153" s="2" t="str">
        <f t="shared" si="2"/>
        <v>("ORD-00152","2025-07-23","BEA-FRA-194","CX-102",5,174940,"Cash"),</v>
      </c>
      <c r="N153" s="2"/>
      <c r="P153" s="4"/>
    </row>
    <row r="154" spans="1:16" x14ac:dyDescent="0.3">
      <c r="A154" s="2" t="s">
        <v>719</v>
      </c>
      <c r="B154" s="5" t="s">
        <v>1696</v>
      </c>
      <c r="C154" s="2" t="s">
        <v>108</v>
      </c>
      <c r="D154" s="2" t="s">
        <v>533</v>
      </c>
      <c r="E154" s="2">
        <v>5</v>
      </c>
      <c r="F154" s="2">
        <v>216370</v>
      </c>
      <c r="G154" s="2" t="s">
        <v>563</v>
      </c>
      <c r="H154" s="2" t="str">
        <f t="shared" si="2"/>
        <v>("ORD-00153","2025-04-02","HOM-APP-107","CX-013",5,216370,"Cash"),</v>
      </c>
      <c r="N154" s="2"/>
      <c r="P154" s="4"/>
    </row>
    <row r="155" spans="1:16" x14ac:dyDescent="0.3">
      <c r="A155" s="2" t="s">
        <v>720</v>
      </c>
      <c r="B155" s="5" t="s">
        <v>1697</v>
      </c>
      <c r="C155" s="2" t="s">
        <v>145</v>
      </c>
      <c r="D155" s="2" t="s">
        <v>495</v>
      </c>
      <c r="E155" s="2">
        <v>4</v>
      </c>
      <c r="F155" s="2">
        <v>132680</v>
      </c>
      <c r="G155" s="2" t="s">
        <v>565</v>
      </c>
      <c r="H155" s="2" t="str">
        <f t="shared" si="2"/>
        <v>("ORD-00154","2025-02-04","SPO-IND-144","CX-033",4,132680,"NetBanking"),</v>
      </c>
      <c r="N155" s="2"/>
      <c r="P155" s="4"/>
    </row>
    <row r="156" spans="1:16" x14ac:dyDescent="0.3">
      <c r="A156" s="2" t="s">
        <v>721</v>
      </c>
      <c r="B156" s="5" t="s">
        <v>1698</v>
      </c>
      <c r="C156" s="2" t="s">
        <v>110</v>
      </c>
      <c r="D156" s="2" t="s">
        <v>467</v>
      </c>
      <c r="E156" s="2">
        <v>3</v>
      </c>
      <c r="F156" s="2">
        <v>93342</v>
      </c>
      <c r="G156" s="2" t="s">
        <v>567</v>
      </c>
      <c r="H156" s="2" t="str">
        <f t="shared" si="2"/>
        <v>("ORD-00155","2025-03-12","HOM-APP-109","CX-048",3,93342,"Wallet"),</v>
      </c>
      <c r="N156" s="2"/>
      <c r="P156" s="4"/>
    </row>
    <row r="157" spans="1:16" x14ac:dyDescent="0.3">
      <c r="A157" s="2" t="s">
        <v>722</v>
      </c>
      <c r="B157" s="5" t="s">
        <v>1699</v>
      </c>
      <c r="C157" s="2" t="s">
        <v>106</v>
      </c>
      <c r="D157" s="2" t="s">
        <v>503</v>
      </c>
      <c r="E157" s="2">
        <v>2</v>
      </c>
      <c r="F157" s="2">
        <v>4444</v>
      </c>
      <c r="G157" s="2" t="s">
        <v>565</v>
      </c>
      <c r="H157" s="2" t="str">
        <f t="shared" si="2"/>
        <v>("ORD-00156","2025-05-24","HOM-APP-105","CX-029",2,4444,"NetBanking"),</v>
      </c>
      <c r="N157" s="2"/>
      <c r="P157" s="4"/>
    </row>
    <row r="158" spans="1:16" x14ac:dyDescent="0.3">
      <c r="A158" s="2" t="s">
        <v>723</v>
      </c>
      <c r="B158" s="5" t="s">
        <v>1700</v>
      </c>
      <c r="C158" s="2" t="s">
        <v>104</v>
      </c>
      <c r="D158" s="2" t="s">
        <v>405</v>
      </c>
      <c r="E158" s="2">
        <v>2</v>
      </c>
      <c r="F158" s="2">
        <v>72662</v>
      </c>
      <c r="G158" s="2" t="s">
        <v>565</v>
      </c>
      <c r="H158" s="2" t="str">
        <f t="shared" si="2"/>
        <v>("ORD-00157","2025-09-02","HOM-APP-103","CX-082",2,72662,"NetBanking"),</v>
      </c>
      <c r="N158" s="2"/>
      <c r="P158" s="4"/>
    </row>
    <row r="159" spans="1:16" x14ac:dyDescent="0.3">
      <c r="A159" s="2" t="s">
        <v>724</v>
      </c>
      <c r="B159" s="5" t="s">
        <v>1604</v>
      </c>
      <c r="C159" s="2" t="s">
        <v>72</v>
      </c>
      <c r="D159" s="2" t="s">
        <v>331</v>
      </c>
      <c r="E159" s="2">
        <v>3</v>
      </c>
      <c r="F159" s="2">
        <v>143808</v>
      </c>
      <c r="G159" s="2" t="s">
        <v>570</v>
      </c>
      <c r="H159" s="2" t="str">
        <f t="shared" si="2"/>
        <v>("ORD-00158","2025-07-05","FAS-FOO-071","CX-116",3,143808,"UPI"),</v>
      </c>
      <c r="N159" s="2"/>
      <c r="P159" s="4"/>
    </row>
    <row r="160" spans="1:16" x14ac:dyDescent="0.3">
      <c r="A160" s="2" t="s">
        <v>725</v>
      </c>
      <c r="B160" s="5" t="s">
        <v>1666</v>
      </c>
      <c r="C160" s="2" t="s">
        <v>21</v>
      </c>
      <c r="D160" s="2" t="s">
        <v>352</v>
      </c>
      <c r="E160" s="2">
        <v>3</v>
      </c>
      <c r="F160" s="2">
        <v>36015</v>
      </c>
      <c r="G160" s="2" t="s">
        <v>570</v>
      </c>
      <c r="H160" s="2" t="str">
        <f t="shared" si="2"/>
        <v>("ORD-00159","2025-02-23","ELE-LAP-020","CX-108",3,36015,"UPI"),</v>
      </c>
      <c r="N160" s="2"/>
      <c r="P160" s="4"/>
    </row>
    <row r="161" spans="1:16" x14ac:dyDescent="0.3">
      <c r="A161" s="2" t="s">
        <v>726</v>
      </c>
      <c r="B161" s="5" t="s">
        <v>1701</v>
      </c>
      <c r="C161" s="2" t="s">
        <v>120</v>
      </c>
      <c r="D161" s="2" t="s">
        <v>520</v>
      </c>
      <c r="E161" s="2">
        <v>1</v>
      </c>
      <c r="F161" s="2">
        <v>19370</v>
      </c>
      <c r="G161" s="2" t="s">
        <v>570</v>
      </c>
      <c r="H161" s="2" t="str">
        <f t="shared" si="2"/>
        <v>("ORD-00160","2025-06-11","HOM-FUR-119","CX-020",1,19370,"UPI"),</v>
      </c>
      <c r="N161" s="2"/>
      <c r="P161" s="4"/>
    </row>
    <row r="162" spans="1:16" x14ac:dyDescent="0.3">
      <c r="A162" s="2" t="s">
        <v>727</v>
      </c>
      <c r="B162" s="5" t="s">
        <v>1702</v>
      </c>
      <c r="C162" s="2" t="s">
        <v>62</v>
      </c>
      <c r="D162" s="2" t="s">
        <v>426</v>
      </c>
      <c r="E162" s="2">
        <v>1</v>
      </c>
      <c r="F162" s="2">
        <v>15203</v>
      </c>
      <c r="G162" s="2" t="s">
        <v>563</v>
      </c>
      <c r="H162" s="2" t="str">
        <f t="shared" si="2"/>
        <v>("ORD-00161","2025-04-08","FAS-KID-061","CX-071",1,15203,"Cash"),</v>
      </c>
      <c r="N162" s="2"/>
      <c r="P162" s="4"/>
    </row>
    <row r="163" spans="1:16" x14ac:dyDescent="0.3">
      <c r="A163" s="2" t="s">
        <v>728</v>
      </c>
      <c r="B163" s="5" t="s">
        <v>1600</v>
      </c>
      <c r="C163" s="2" t="s">
        <v>75</v>
      </c>
      <c r="D163" s="2" t="s">
        <v>491</v>
      </c>
      <c r="E163" s="2">
        <v>2</v>
      </c>
      <c r="F163" s="2">
        <v>22740</v>
      </c>
      <c r="G163" s="2" t="s">
        <v>570</v>
      </c>
      <c r="H163" s="2" t="str">
        <f t="shared" si="2"/>
        <v>("ORD-00162","2025-03-10","FAS-FOO-074","CX-035",2,22740,"UPI"),</v>
      </c>
      <c r="N163" s="2"/>
      <c r="P163" s="4"/>
    </row>
    <row r="164" spans="1:16" x14ac:dyDescent="0.3">
      <c r="A164" s="2" t="s">
        <v>729</v>
      </c>
      <c r="B164" s="5" t="s">
        <v>1582</v>
      </c>
      <c r="C164" s="2" t="s">
        <v>172</v>
      </c>
      <c r="D164" s="2" t="s">
        <v>454</v>
      </c>
      <c r="E164" s="2">
        <v>1</v>
      </c>
      <c r="F164" s="2">
        <v>58133</v>
      </c>
      <c r="G164" s="2" t="s">
        <v>563</v>
      </c>
      <c r="H164" s="2" t="str">
        <f t="shared" si="2"/>
        <v>("ORD-00163","2025-09-19","BEA-HAI-171","CX-055",1,58133,"Cash"),</v>
      </c>
      <c r="N164" s="2"/>
      <c r="P164" s="4"/>
    </row>
    <row r="165" spans="1:16" x14ac:dyDescent="0.3">
      <c r="A165" s="2" t="s">
        <v>730</v>
      </c>
      <c r="B165" s="5" t="s">
        <v>1623</v>
      </c>
      <c r="C165" s="2" t="s">
        <v>39</v>
      </c>
      <c r="D165" s="2" t="s">
        <v>410</v>
      </c>
      <c r="E165" s="2">
        <v>2</v>
      </c>
      <c r="F165" s="2">
        <v>65008</v>
      </c>
      <c r="G165" s="2" t="s">
        <v>567</v>
      </c>
      <c r="H165" s="2" t="str">
        <f t="shared" si="2"/>
        <v>("ORD-00164","2025-08-02","ELE-CAM-038","CX-079",2,65008,"Wallet"),</v>
      </c>
      <c r="N165" s="2"/>
      <c r="P165" s="4"/>
    </row>
    <row r="166" spans="1:16" x14ac:dyDescent="0.3">
      <c r="A166" s="2" t="s">
        <v>731</v>
      </c>
      <c r="B166" s="5" t="s">
        <v>1703</v>
      </c>
      <c r="C166" s="2" t="s">
        <v>180</v>
      </c>
      <c r="D166" s="2" t="s">
        <v>517</v>
      </c>
      <c r="E166" s="2">
        <v>5</v>
      </c>
      <c r="F166" s="2">
        <v>198880</v>
      </c>
      <c r="G166" s="2" t="s">
        <v>565</v>
      </c>
      <c r="H166" s="2" t="str">
        <f t="shared" si="2"/>
        <v>("ORD-00165","2025-04-20","BEA-HAI-179","CX-022",5,198880,"NetBanking"),</v>
      </c>
      <c r="N166" s="2"/>
      <c r="P166" s="4"/>
    </row>
    <row r="167" spans="1:16" x14ac:dyDescent="0.3">
      <c r="A167" s="2" t="s">
        <v>732</v>
      </c>
      <c r="B167" s="5" t="s">
        <v>1704</v>
      </c>
      <c r="C167" s="2" t="s">
        <v>61</v>
      </c>
      <c r="D167" s="2" t="s">
        <v>505</v>
      </c>
      <c r="E167" s="2">
        <v>1</v>
      </c>
      <c r="F167" s="2">
        <v>50880</v>
      </c>
      <c r="G167" s="2" t="s">
        <v>563</v>
      </c>
      <c r="H167" s="2" t="str">
        <f t="shared" si="2"/>
        <v>("ORD-00166","2025-06-14","FAS-WOM-060","CX-028",1,50880,"Cash"),</v>
      </c>
      <c r="N167" s="2"/>
      <c r="P167" s="4"/>
    </row>
    <row r="168" spans="1:16" x14ac:dyDescent="0.3">
      <c r="A168" s="2" t="s">
        <v>733</v>
      </c>
      <c r="B168" s="5" t="s">
        <v>1651</v>
      </c>
      <c r="C168" s="2" t="s">
        <v>73</v>
      </c>
      <c r="D168" s="2" t="s">
        <v>435</v>
      </c>
      <c r="E168" s="2">
        <v>1</v>
      </c>
      <c r="F168" s="2">
        <v>7291</v>
      </c>
      <c r="G168" s="2" t="s">
        <v>567</v>
      </c>
      <c r="H168" s="2" t="str">
        <f t="shared" si="2"/>
        <v>("ORD-00167","2025-09-05","FAS-FOO-072","CX-066",1,7291,"Wallet"),</v>
      </c>
      <c r="N168" s="2"/>
      <c r="P168" s="4"/>
    </row>
    <row r="169" spans="1:16" x14ac:dyDescent="0.3">
      <c r="A169" s="2" t="s">
        <v>734</v>
      </c>
      <c r="B169" s="5" t="s">
        <v>1705</v>
      </c>
      <c r="C169" s="2" t="s">
        <v>8</v>
      </c>
      <c r="D169" s="2" t="s">
        <v>384</v>
      </c>
      <c r="E169" s="2">
        <v>2</v>
      </c>
      <c r="F169" s="2">
        <v>108854</v>
      </c>
      <c r="G169" s="2" t="s">
        <v>570</v>
      </c>
      <c r="H169" s="2" t="str">
        <f t="shared" si="2"/>
        <v>("ORD-00168","2025-10-03","ELE-MOB-007","CX-092",2,108854,"UPI"),</v>
      </c>
      <c r="N169" s="2"/>
      <c r="P169" s="4"/>
    </row>
    <row r="170" spans="1:16" x14ac:dyDescent="0.3">
      <c r="A170" s="2" t="s">
        <v>735</v>
      </c>
      <c r="B170" s="5" t="s">
        <v>1706</v>
      </c>
      <c r="C170" s="2" t="s">
        <v>160</v>
      </c>
      <c r="D170" s="2" t="s">
        <v>535</v>
      </c>
      <c r="E170" s="2">
        <v>3</v>
      </c>
      <c r="F170" s="2">
        <v>1053</v>
      </c>
      <c r="G170" s="2" t="s">
        <v>563</v>
      </c>
      <c r="H170" s="2" t="str">
        <f t="shared" si="2"/>
        <v>("ORD-00169","2025-03-14","SPO-ACC-159","CX-012",3,1053,"Cash"),</v>
      </c>
      <c r="N170" s="2"/>
      <c r="P170" s="4"/>
    </row>
    <row r="171" spans="1:16" x14ac:dyDescent="0.3">
      <c r="A171" s="2" t="s">
        <v>736</v>
      </c>
      <c r="B171" s="5" t="s">
        <v>1599</v>
      </c>
      <c r="C171" s="2" t="s">
        <v>198</v>
      </c>
      <c r="D171" s="2" t="s">
        <v>412</v>
      </c>
      <c r="E171" s="2">
        <v>5</v>
      </c>
      <c r="F171" s="2">
        <v>204250</v>
      </c>
      <c r="G171" s="2" t="s">
        <v>567</v>
      </c>
      <c r="H171" s="2" t="str">
        <f t="shared" si="2"/>
        <v>("ORD-00170","2025-05-26","BEA-FRA-197","CX-078",5,204250,"Wallet"),</v>
      </c>
      <c r="N171" s="2"/>
      <c r="P171" s="4"/>
    </row>
    <row r="172" spans="1:16" x14ac:dyDescent="0.3">
      <c r="A172" s="2" t="s">
        <v>737</v>
      </c>
      <c r="B172" s="5" t="s">
        <v>1585</v>
      </c>
      <c r="C172" s="2" t="s">
        <v>10</v>
      </c>
      <c r="D172" s="2" t="s">
        <v>408</v>
      </c>
      <c r="E172" s="2">
        <v>5</v>
      </c>
      <c r="F172" s="2">
        <v>264515</v>
      </c>
      <c r="G172" s="2" t="s">
        <v>567</v>
      </c>
      <c r="H172" s="2" t="str">
        <f t="shared" si="2"/>
        <v>("ORD-00171","2025-01-08","ELE-MOB-009","CX-080",5,264515,"Wallet"),</v>
      </c>
      <c r="N172" s="2"/>
      <c r="P172" s="4"/>
    </row>
    <row r="173" spans="1:16" x14ac:dyDescent="0.3">
      <c r="A173" s="2" t="s">
        <v>738</v>
      </c>
      <c r="B173" s="5" t="s">
        <v>1678</v>
      </c>
      <c r="C173" s="2" t="s">
        <v>109</v>
      </c>
      <c r="D173" s="2" t="s">
        <v>486</v>
      </c>
      <c r="E173" s="2">
        <v>4</v>
      </c>
      <c r="F173" s="2">
        <v>75848</v>
      </c>
      <c r="G173" s="2" t="s">
        <v>567</v>
      </c>
      <c r="H173" s="2" t="str">
        <f t="shared" si="2"/>
        <v>("ORD-00172","2025-10-14","HOM-APP-108","CX-038",4,75848,"Wallet"),</v>
      </c>
      <c r="N173" s="2"/>
      <c r="P173" s="4"/>
    </row>
    <row r="174" spans="1:16" x14ac:dyDescent="0.3">
      <c r="A174" s="2" t="s">
        <v>739</v>
      </c>
      <c r="B174" s="5" t="s">
        <v>1606</v>
      </c>
      <c r="C174" s="2" t="s">
        <v>170</v>
      </c>
      <c r="D174" s="2" t="s">
        <v>501</v>
      </c>
      <c r="E174" s="2">
        <v>3</v>
      </c>
      <c r="F174" s="2">
        <v>167580</v>
      </c>
      <c r="G174" s="2" t="s">
        <v>563</v>
      </c>
      <c r="H174" s="2" t="str">
        <f t="shared" si="2"/>
        <v>("ORD-00173","2025-06-12","BEA-SKI-169","CX-030",3,167580,"Cash"),</v>
      </c>
      <c r="N174" s="2"/>
      <c r="P174" s="4"/>
    </row>
    <row r="175" spans="1:16" x14ac:dyDescent="0.3">
      <c r="A175" s="2" t="s">
        <v>740</v>
      </c>
      <c r="B175" s="5" t="s">
        <v>1689</v>
      </c>
      <c r="C175" s="2" t="s">
        <v>89</v>
      </c>
      <c r="D175" s="2" t="s">
        <v>389</v>
      </c>
      <c r="E175" s="2">
        <v>1</v>
      </c>
      <c r="F175" s="2">
        <v>27725</v>
      </c>
      <c r="G175" s="2" t="s">
        <v>567</v>
      </c>
      <c r="H175" s="2" t="str">
        <f t="shared" si="2"/>
        <v>("ORD-00174","2024-12-16","HOM-KIT-088","CX-090",1,27725,"Wallet"),</v>
      </c>
      <c r="N175" s="2"/>
      <c r="P175" s="4"/>
    </row>
    <row r="176" spans="1:16" x14ac:dyDescent="0.3">
      <c r="A176" s="2" t="s">
        <v>741</v>
      </c>
      <c r="B176" s="5" t="s">
        <v>1707</v>
      </c>
      <c r="C176" s="2" t="s">
        <v>24</v>
      </c>
      <c r="D176" s="2" t="s">
        <v>486</v>
      </c>
      <c r="E176" s="2">
        <v>5</v>
      </c>
      <c r="F176" s="2">
        <v>203045</v>
      </c>
      <c r="G176" s="2" t="s">
        <v>572</v>
      </c>
      <c r="H176" s="2" t="str">
        <f t="shared" si="2"/>
        <v>("ORD-00175","2024-12-13","ELE-ACC-023","CX-038",5,203045,"Card"),</v>
      </c>
      <c r="N176" s="2"/>
      <c r="P176" s="4"/>
    </row>
    <row r="177" spans="1:16" x14ac:dyDescent="0.3">
      <c r="A177" s="2" t="s">
        <v>742</v>
      </c>
      <c r="B177" s="5" t="s">
        <v>1708</v>
      </c>
      <c r="C177" s="2" t="s">
        <v>124</v>
      </c>
      <c r="D177" s="2" t="s">
        <v>489</v>
      </c>
      <c r="E177" s="2">
        <v>2</v>
      </c>
      <c r="F177" s="2">
        <v>102792</v>
      </c>
      <c r="G177" s="2" t="s">
        <v>570</v>
      </c>
      <c r="H177" s="2" t="str">
        <f t="shared" si="2"/>
        <v>("ORD-00176","2025-09-28","SPO-FIT-123","CX-036",2,102792,"UPI"),</v>
      </c>
      <c r="N177" s="2"/>
      <c r="P177" s="4"/>
    </row>
    <row r="178" spans="1:16" x14ac:dyDescent="0.3">
      <c r="A178" s="2" t="s">
        <v>743</v>
      </c>
      <c r="B178" s="5" t="s">
        <v>1709</v>
      </c>
      <c r="C178" s="2" t="s">
        <v>125</v>
      </c>
      <c r="D178" s="2" t="s">
        <v>542</v>
      </c>
      <c r="E178" s="2">
        <v>4</v>
      </c>
      <c r="F178" s="2">
        <v>47332</v>
      </c>
      <c r="G178" s="2" t="s">
        <v>567</v>
      </c>
      <c r="H178" s="2" t="str">
        <f t="shared" si="2"/>
        <v>("ORD-00177","2025-01-24","SPO-FIT-124","CX-008",4,47332,"Wallet"),</v>
      </c>
      <c r="N178" s="2"/>
      <c r="P178" s="4"/>
    </row>
    <row r="179" spans="1:16" x14ac:dyDescent="0.3">
      <c r="A179" s="2" t="s">
        <v>744</v>
      </c>
      <c r="B179" s="5" t="s">
        <v>1710</v>
      </c>
      <c r="C179" s="2" t="s">
        <v>10</v>
      </c>
      <c r="D179" s="2" t="s">
        <v>412</v>
      </c>
      <c r="E179" s="2">
        <v>3</v>
      </c>
      <c r="F179" s="2">
        <v>158709</v>
      </c>
      <c r="G179" s="2" t="s">
        <v>567</v>
      </c>
      <c r="H179" s="2" t="str">
        <f t="shared" si="2"/>
        <v>("ORD-00178","2025-07-25","ELE-MOB-009","CX-078",3,158709,"Wallet"),</v>
      </c>
      <c r="N179" s="2"/>
      <c r="P179" s="4"/>
    </row>
    <row r="180" spans="1:16" x14ac:dyDescent="0.3">
      <c r="A180" s="2" t="s">
        <v>745</v>
      </c>
      <c r="B180" s="5" t="s">
        <v>1711</v>
      </c>
      <c r="C180" s="2" t="s">
        <v>111</v>
      </c>
      <c r="D180" s="2" t="s">
        <v>464</v>
      </c>
      <c r="E180" s="2">
        <v>1</v>
      </c>
      <c r="F180" s="2">
        <v>18185</v>
      </c>
      <c r="G180" s="2" t="s">
        <v>563</v>
      </c>
      <c r="H180" s="2" t="str">
        <f t="shared" si="2"/>
        <v>("ORD-00179","2025-11-14","HOM-APP-110","CX-050",1,18185,"Cash"),</v>
      </c>
      <c r="N180" s="2"/>
      <c r="P180" s="4"/>
    </row>
    <row r="181" spans="1:16" x14ac:dyDescent="0.3">
      <c r="A181" s="2" t="s">
        <v>746</v>
      </c>
      <c r="B181" s="5" t="s">
        <v>1712</v>
      </c>
      <c r="C181" s="2" t="s">
        <v>31</v>
      </c>
      <c r="D181" s="2" t="s">
        <v>523</v>
      </c>
      <c r="E181" s="2">
        <v>4</v>
      </c>
      <c r="F181" s="2">
        <v>152136</v>
      </c>
      <c r="G181" s="2" t="s">
        <v>570</v>
      </c>
      <c r="H181" s="2" t="str">
        <f t="shared" si="2"/>
        <v>("ORD-00180","2025-03-23","ELE-ACC-030","CX-018",4,152136,"UPI"),</v>
      </c>
      <c r="N181" s="2"/>
      <c r="P181" s="4"/>
    </row>
    <row r="182" spans="1:16" x14ac:dyDescent="0.3">
      <c r="A182" s="2" t="s">
        <v>747</v>
      </c>
      <c r="B182" s="5" t="s">
        <v>1713</v>
      </c>
      <c r="C182" s="2" t="s">
        <v>158</v>
      </c>
      <c r="D182" s="2" t="s">
        <v>447</v>
      </c>
      <c r="E182" s="2">
        <v>3</v>
      </c>
      <c r="F182" s="2">
        <v>56940</v>
      </c>
      <c r="G182" s="2" t="s">
        <v>570</v>
      </c>
      <c r="H182" s="2" t="str">
        <f t="shared" si="2"/>
        <v>("ORD-00181","2025-04-06","SPO-ACC-157","CX-059",3,56940,"UPI"),</v>
      </c>
      <c r="N182" s="2"/>
      <c r="P182" s="4"/>
    </row>
    <row r="183" spans="1:16" x14ac:dyDescent="0.3">
      <c r="A183" s="2" t="s">
        <v>748</v>
      </c>
      <c r="B183" s="5" t="s">
        <v>1665</v>
      </c>
      <c r="C183" s="2" t="s">
        <v>23</v>
      </c>
      <c r="D183" s="2" t="s">
        <v>376</v>
      </c>
      <c r="E183" s="2">
        <v>2</v>
      </c>
      <c r="F183" s="2">
        <v>39386</v>
      </c>
      <c r="G183" s="2" t="s">
        <v>567</v>
      </c>
      <c r="H183" s="2" t="str">
        <f t="shared" si="2"/>
        <v>("ORD-00182","2025-03-08","ELE-ACC-022","CX-096",2,39386,"Wallet"),</v>
      </c>
      <c r="N183" s="2"/>
      <c r="P183" s="4"/>
    </row>
    <row r="184" spans="1:16" x14ac:dyDescent="0.3">
      <c r="A184" s="2" t="s">
        <v>749</v>
      </c>
      <c r="B184" s="5" t="s">
        <v>1653</v>
      </c>
      <c r="C184" s="2" t="s">
        <v>20</v>
      </c>
      <c r="D184" s="2" t="s">
        <v>370</v>
      </c>
      <c r="E184" s="2">
        <v>4</v>
      </c>
      <c r="F184" s="2">
        <v>112240</v>
      </c>
      <c r="G184" s="2" t="s">
        <v>565</v>
      </c>
      <c r="H184" s="2" t="str">
        <f t="shared" si="2"/>
        <v>("ORD-00183","2025-04-30","ELE-LAP-019","CX-099",4,112240,"NetBanking"),</v>
      </c>
      <c r="N184" s="2"/>
      <c r="P184" s="4"/>
    </row>
    <row r="185" spans="1:16" x14ac:dyDescent="0.3">
      <c r="A185" s="2" t="s">
        <v>750</v>
      </c>
      <c r="B185" s="5" t="s">
        <v>1628</v>
      </c>
      <c r="C185" s="2" t="s">
        <v>183</v>
      </c>
      <c r="D185" s="2" t="s">
        <v>517</v>
      </c>
      <c r="E185" s="2">
        <v>1</v>
      </c>
      <c r="F185" s="2">
        <v>37739</v>
      </c>
      <c r="G185" s="2" t="s">
        <v>567</v>
      </c>
      <c r="H185" s="2" t="str">
        <f t="shared" si="2"/>
        <v>("ORD-00184","2025-01-01","BEA-MAK-182","CX-022",1,37739,"Wallet"),</v>
      </c>
      <c r="N185" s="2"/>
      <c r="P185" s="4"/>
    </row>
    <row r="186" spans="1:16" x14ac:dyDescent="0.3">
      <c r="A186" s="2" t="s">
        <v>751</v>
      </c>
      <c r="B186" s="5" t="s">
        <v>1714</v>
      </c>
      <c r="C186" s="2" t="s">
        <v>53</v>
      </c>
      <c r="D186" s="2" t="s">
        <v>481</v>
      </c>
      <c r="E186" s="2">
        <v>3</v>
      </c>
      <c r="F186" s="2">
        <v>46398</v>
      </c>
      <c r="G186" s="2" t="s">
        <v>570</v>
      </c>
      <c r="H186" s="2" t="str">
        <f t="shared" si="2"/>
        <v>("ORD-00185","2024-12-18","FAS-WOM-052","CX-041",3,46398,"UPI"),</v>
      </c>
      <c r="N186" s="2"/>
      <c r="P186" s="4"/>
    </row>
    <row r="187" spans="1:16" x14ac:dyDescent="0.3">
      <c r="A187" s="2" t="s">
        <v>752</v>
      </c>
      <c r="B187" s="5" t="s">
        <v>1680</v>
      </c>
      <c r="C187" s="2" t="s">
        <v>26</v>
      </c>
      <c r="D187" s="2" t="s">
        <v>342</v>
      </c>
      <c r="E187" s="2">
        <v>2</v>
      </c>
      <c r="F187" s="2">
        <v>58356</v>
      </c>
      <c r="G187" s="2" t="s">
        <v>570</v>
      </c>
      <c r="H187" s="2" t="str">
        <f t="shared" si="2"/>
        <v>("ORD-00186","2025-11-25","ELE-ACC-025","CX-112",2,58356,"UPI"),</v>
      </c>
      <c r="N187" s="2"/>
      <c r="P187" s="4"/>
    </row>
    <row r="188" spans="1:16" x14ac:dyDescent="0.3">
      <c r="A188" s="2" t="s">
        <v>753</v>
      </c>
      <c r="B188" s="5" t="s">
        <v>1709</v>
      </c>
      <c r="C188" s="2" t="s">
        <v>161</v>
      </c>
      <c r="D188" s="2" t="s">
        <v>370</v>
      </c>
      <c r="E188" s="2">
        <v>1</v>
      </c>
      <c r="F188" s="2">
        <v>36835</v>
      </c>
      <c r="G188" s="2" t="s">
        <v>572</v>
      </c>
      <c r="H188" s="2" t="str">
        <f t="shared" si="2"/>
        <v>("ORD-00187","2025-01-24","SPO-ACC-160","CX-099",1,36835,"Card"),</v>
      </c>
      <c r="N188" s="2"/>
      <c r="P188" s="4"/>
    </row>
    <row r="189" spans="1:16" x14ac:dyDescent="0.3">
      <c r="A189" s="2" t="s">
        <v>754</v>
      </c>
      <c r="B189" s="5" t="s">
        <v>1715</v>
      </c>
      <c r="C189" s="2" t="s">
        <v>27</v>
      </c>
      <c r="D189" s="2" t="s">
        <v>511</v>
      </c>
      <c r="E189" s="2">
        <v>1</v>
      </c>
      <c r="F189" s="2">
        <v>52226</v>
      </c>
      <c r="G189" s="2" t="s">
        <v>563</v>
      </c>
      <c r="H189" s="2" t="str">
        <f t="shared" si="2"/>
        <v>("ORD-00188","2025-08-27","ELE-ACC-026","CX-025",1,52226,"Cash"),</v>
      </c>
      <c r="N189" s="2"/>
      <c r="P189" s="4"/>
    </row>
    <row r="190" spans="1:16" x14ac:dyDescent="0.3">
      <c r="A190" s="2" t="s">
        <v>755</v>
      </c>
      <c r="B190" s="5" t="s">
        <v>1689</v>
      </c>
      <c r="C190" s="2" t="s">
        <v>68</v>
      </c>
      <c r="D190" s="2" t="s">
        <v>511</v>
      </c>
      <c r="E190" s="2">
        <v>5</v>
      </c>
      <c r="F190" s="2">
        <v>283875</v>
      </c>
      <c r="G190" s="2" t="s">
        <v>567</v>
      </c>
      <c r="H190" s="2" t="str">
        <f t="shared" si="2"/>
        <v>("ORD-00189","2024-12-16","FAS-KID-067","CX-025",5,283875,"Wallet"),</v>
      </c>
      <c r="N190" s="2"/>
      <c r="P190" s="4"/>
    </row>
    <row r="191" spans="1:16" x14ac:dyDescent="0.3">
      <c r="A191" s="2" t="s">
        <v>756</v>
      </c>
      <c r="B191" s="5" t="s">
        <v>1649</v>
      </c>
      <c r="C191" s="2" t="s">
        <v>77</v>
      </c>
      <c r="D191" s="2" t="s">
        <v>331</v>
      </c>
      <c r="E191" s="2">
        <v>1</v>
      </c>
      <c r="F191" s="2">
        <v>30455</v>
      </c>
      <c r="G191" s="2" t="s">
        <v>567</v>
      </c>
      <c r="H191" s="2" t="str">
        <f t="shared" si="2"/>
        <v>("ORD-00190","2025-08-12","FAS-FOO-076","CX-116",1,30455,"Wallet"),</v>
      </c>
      <c r="N191" s="2"/>
      <c r="P191" s="4"/>
    </row>
    <row r="192" spans="1:16" x14ac:dyDescent="0.3">
      <c r="A192" s="2" t="s">
        <v>757</v>
      </c>
      <c r="B192" s="5" t="s">
        <v>1716</v>
      </c>
      <c r="C192" s="2" t="s">
        <v>46</v>
      </c>
      <c r="D192" s="2" t="s">
        <v>464</v>
      </c>
      <c r="E192" s="2">
        <v>3</v>
      </c>
      <c r="F192" s="2">
        <v>29259</v>
      </c>
      <c r="G192" s="2" t="s">
        <v>572</v>
      </c>
      <c r="H192" s="2" t="str">
        <f t="shared" si="2"/>
        <v>("ORD-00191","2025-02-01","FAS-MEN-045","CX-050",3,29259,"Card"),</v>
      </c>
      <c r="N192" s="2"/>
      <c r="P192" s="4"/>
    </row>
    <row r="193" spans="1:16" x14ac:dyDescent="0.3">
      <c r="A193" s="2" t="s">
        <v>758</v>
      </c>
      <c r="B193" s="5" t="s">
        <v>1717</v>
      </c>
      <c r="C193" s="2" t="s">
        <v>36</v>
      </c>
      <c r="D193" s="2" t="s">
        <v>467</v>
      </c>
      <c r="E193" s="2">
        <v>3</v>
      </c>
      <c r="F193" s="2">
        <v>74226</v>
      </c>
      <c r="G193" s="2" t="s">
        <v>563</v>
      </c>
      <c r="H193" s="2" t="str">
        <f t="shared" si="2"/>
        <v>("ORD-00192","2025-07-15","ELE-CAM-035","CX-048",3,74226,"Cash"),</v>
      </c>
      <c r="N193" s="2"/>
      <c r="P193" s="4"/>
    </row>
    <row r="194" spans="1:16" x14ac:dyDescent="0.3">
      <c r="A194" s="2" t="s">
        <v>759</v>
      </c>
      <c r="B194" s="5" t="s">
        <v>1718</v>
      </c>
      <c r="C194" s="2" t="s">
        <v>125</v>
      </c>
      <c r="D194" s="2" t="s">
        <v>362</v>
      </c>
      <c r="E194" s="2">
        <v>3</v>
      </c>
      <c r="F194" s="2">
        <v>35499</v>
      </c>
      <c r="G194" s="2" t="s">
        <v>565</v>
      </c>
      <c r="H194" s="2" t="str">
        <f t="shared" si="2"/>
        <v>("ORD-00193","2025-02-07","SPO-FIT-124","CX-103",3,35499,"NetBanking"),</v>
      </c>
      <c r="N194" s="2"/>
      <c r="P194" s="4"/>
    </row>
    <row r="195" spans="1:16" x14ac:dyDescent="0.3">
      <c r="A195" s="2" t="s">
        <v>760</v>
      </c>
      <c r="B195" s="5" t="s">
        <v>1719</v>
      </c>
      <c r="C195" s="2" t="s">
        <v>35</v>
      </c>
      <c r="D195" s="2" t="s">
        <v>393</v>
      </c>
      <c r="E195" s="2">
        <v>4</v>
      </c>
      <c r="F195" s="2">
        <v>237116</v>
      </c>
      <c r="G195" s="2" t="s">
        <v>570</v>
      </c>
      <c r="H195" s="2" t="str">
        <f t="shared" ref="H195:H258" si="3">"("""&amp;A195&amp;""","""&amp;B195&amp;""","""&amp;C195&amp;""","""&amp;D195&amp;""","&amp;E195&amp;","&amp;F195&amp;","""&amp;G195&amp;"""),"</f>
        <v>("ORD-00194","2025-03-20","ELE-CAM-034","CX-088",4,237116,"UPI"),</v>
      </c>
      <c r="N195" s="2"/>
      <c r="P195" s="4"/>
    </row>
    <row r="196" spans="1:16" x14ac:dyDescent="0.3">
      <c r="A196" s="2" t="s">
        <v>761</v>
      </c>
      <c r="B196" s="5" t="s">
        <v>1663</v>
      </c>
      <c r="C196" s="2" t="s">
        <v>73</v>
      </c>
      <c r="D196" s="2" t="s">
        <v>403</v>
      </c>
      <c r="E196" s="2">
        <v>2</v>
      </c>
      <c r="F196" s="2">
        <v>14582</v>
      </c>
      <c r="G196" s="2" t="s">
        <v>563</v>
      </c>
      <c r="H196" s="2" t="str">
        <f t="shared" si="3"/>
        <v>("ORD-00195","2025-01-18","FAS-FOO-072","CX-083",2,14582,"Cash"),</v>
      </c>
      <c r="N196" s="2"/>
      <c r="P196" s="4"/>
    </row>
    <row r="197" spans="1:16" x14ac:dyDescent="0.3">
      <c r="A197" s="2" t="s">
        <v>762</v>
      </c>
      <c r="B197" s="5" t="s">
        <v>1706</v>
      </c>
      <c r="C197" s="2" t="s">
        <v>39</v>
      </c>
      <c r="D197" s="2" t="s">
        <v>547</v>
      </c>
      <c r="E197" s="2">
        <v>4</v>
      </c>
      <c r="F197" s="2">
        <v>130016</v>
      </c>
      <c r="G197" s="2" t="s">
        <v>565</v>
      </c>
      <c r="H197" s="2" t="str">
        <f t="shared" si="3"/>
        <v>("ORD-00196","2025-03-14","ELE-CAM-038","CX-005",4,130016,"NetBanking"),</v>
      </c>
      <c r="N197" s="2"/>
      <c r="P197" s="4"/>
    </row>
    <row r="198" spans="1:16" x14ac:dyDescent="0.3">
      <c r="A198" s="2" t="s">
        <v>763</v>
      </c>
      <c r="B198" s="5" t="s">
        <v>1720</v>
      </c>
      <c r="C198" s="2" t="s">
        <v>20</v>
      </c>
      <c r="D198" s="2" t="s">
        <v>342</v>
      </c>
      <c r="E198" s="2">
        <v>2</v>
      </c>
      <c r="F198" s="2">
        <v>56120</v>
      </c>
      <c r="G198" s="2" t="s">
        <v>563</v>
      </c>
      <c r="H198" s="2" t="str">
        <f t="shared" si="3"/>
        <v>("ORD-00197","2025-08-20","ELE-LAP-019","CX-112",2,56120,"Cash"),</v>
      </c>
      <c r="N198" s="2"/>
      <c r="P198" s="4"/>
    </row>
    <row r="199" spans="1:16" x14ac:dyDescent="0.3">
      <c r="A199" s="2" t="s">
        <v>764</v>
      </c>
      <c r="B199" s="5" t="s">
        <v>1721</v>
      </c>
      <c r="C199" s="2" t="s">
        <v>124</v>
      </c>
      <c r="D199" s="2" t="s">
        <v>501</v>
      </c>
      <c r="E199" s="2">
        <v>5</v>
      </c>
      <c r="F199" s="2">
        <v>256980</v>
      </c>
      <c r="G199" s="2" t="s">
        <v>570</v>
      </c>
      <c r="H199" s="2" t="str">
        <f t="shared" si="3"/>
        <v>("ORD-00198","2025-06-13","SPO-FIT-123","CX-030",5,256980,"UPI"),</v>
      </c>
      <c r="N199" s="2"/>
      <c r="P199" s="4"/>
    </row>
    <row r="200" spans="1:16" x14ac:dyDescent="0.3">
      <c r="A200" s="2" t="s">
        <v>765</v>
      </c>
      <c r="B200" s="5" t="s">
        <v>1680</v>
      </c>
      <c r="C200" s="2" t="s">
        <v>41</v>
      </c>
      <c r="D200" s="2" t="s">
        <v>435</v>
      </c>
      <c r="E200" s="2">
        <v>5</v>
      </c>
      <c r="F200" s="2">
        <v>6780</v>
      </c>
      <c r="G200" s="2" t="s">
        <v>570</v>
      </c>
      <c r="H200" s="2" t="str">
        <f t="shared" si="3"/>
        <v>("ORD-00199","2025-11-25","ELE-CAM-040","CX-066",5,6780,"UPI"),</v>
      </c>
      <c r="N200" s="2"/>
      <c r="P200" s="4"/>
    </row>
    <row r="201" spans="1:16" x14ac:dyDescent="0.3">
      <c r="A201" s="2" t="s">
        <v>766</v>
      </c>
      <c r="B201" s="5" t="s">
        <v>1722</v>
      </c>
      <c r="C201" s="2" t="s">
        <v>152</v>
      </c>
      <c r="D201" s="2" t="s">
        <v>551</v>
      </c>
      <c r="E201" s="2">
        <v>1</v>
      </c>
      <c r="F201" s="2">
        <v>46741</v>
      </c>
      <c r="G201" s="2" t="s">
        <v>570</v>
      </c>
      <c r="H201" s="2" t="str">
        <f t="shared" si="3"/>
        <v>("ORD-00200","2025-08-01","SPO-ACC-151","CX-003",1,46741,"UPI"),</v>
      </c>
      <c r="N201" s="2"/>
      <c r="P201" s="4"/>
    </row>
    <row r="202" spans="1:16" x14ac:dyDescent="0.3">
      <c r="A202" s="2" t="s">
        <v>767</v>
      </c>
      <c r="B202" s="5" t="s">
        <v>1723</v>
      </c>
      <c r="C202" s="2" t="s">
        <v>199</v>
      </c>
      <c r="D202" s="2" t="s">
        <v>535</v>
      </c>
      <c r="E202" s="2">
        <v>2</v>
      </c>
      <c r="F202" s="2">
        <v>116636</v>
      </c>
      <c r="G202" s="2" t="s">
        <v>570</v>
      </c>
      <c r="H202" s="2" t="str">
        <f t="shared" si="3"/>
        <v>("ORD-00201","2024-12-08","BEA-FRA-198","CX-012",2,116636,"UPI"),</v>
      </c>
      <c r="N202" s="2"/>
      <c r="P202" s="4"/>
    </row>
    <row r="203" spans="1:16" x14ac:dyDescent="0.3">
      <c r="A203" s="2" t="s">
        <v>768</v>
      </c>
      <c r="B203" s="5" t="s">
        <v>1724</v>
      </c>
      <c r="C203" s="2" t="s">
        <v>123</v>
      </c>
      <c r="D203" s="2" t="s">
        <v>437</v>
      </c>
      <c r="E203" s="2">
        <v>3</v>
      </c>
      <c r="F203" s="2">
        <v>110811</v>
      </c>
      <c r="G203" s="2" t="s">
        <v>570</v>
      </c>
      <c r="H203" s="2" t="str">
        <f t="shared" si="3"/>
        <v>("ORD-00202","2025-04-14","SPO-FIT-122","CX-064",3,110811,"UPI"),</v>
      </c>
      <c r="N203" s="2"/>
      <c r="P203" s="4"/>
    </row>
    <row r="204" spans="1:16" x14ac:dyDescent="0.3">
      <c r="A204" s="2" t="s">
        <v>769</v>
      </c>
      <c r="B204" s="5" t="s">
        <v>1725</v>
      </c>
      <c r="C204" s="2" t="s">
        <v>102</v>
      </c>
      <c r="D204" s="2" t="s">
        <v>358</v>
      </c>
      <c r="E204" s="2">
        <v>5</v>
      </c>
      <c r="F204" s="2">
        <v>263665</v>
      </c>
      <c r="G204" s="2" t="s">
        <v>570</v>
      </c>
      <c r="H204" s="2" t="str">
        <f t="shared" si="3"/>
        <v>("ORD-00203","2025-11-16","HOM-APP-101","CX-105",5,263665,"UPI"),</v>
      </c>
      <c r="N204" s="2"/>
      <c r="P204" s="4"/>
    </row>
    <row r="205" spans="1:16" x14ac:dyDescent="0.3">
      <c r="A205" s="2" t="s">
        <v>770</v>
      </c>
      <c r="B205" s="5" t="s">
        <v>1726</v>
      </c>
      <c r="C205" s="2" t="s">
        <v>127</v>
      </c>
      <c r="D205" s="2" t="s">
        <v>448</v>
      </c>
      <c r="E205" s="2">
        <v>1</v>
      </c>
      <c r="F205" s="2">
        <v>8758</v>
      </c>
      <c r="G205" s="2" t="s">
        <v>565</v>
      </c>
      <c r="H205" s="2" t="str">
        <f t="shared" si="3"/>
        <v>("ORD-00204","2025-09-25","SPO-FIT-126","CX-058",1,8758,"NetBanking"),</v>
      </c>
      <c r="N205" s="2"/>
      <c r="P205" s="4"/>
    </row>
    <row r="206" spans="1:16" x14ac:dyDescent="0.3">
      <c r="A206" s="2" t="s">
        <v>771</v>
      </c>
      <c r="B206" s="5" t="s">
        <v>1727</v>
      </c>
      <c r="C206" s="2" t="s">
        <v>2</v>
      </c>
      <c r="D206" s="2" t="s">
        <v>511</v>
      </c>
      <c r="E206" s="2">
        <v>2</v>
      </c>
      <c r="F206" s="2">
        <v>49446</v>
      </c>
      <c r="G206" s="2" t="s">
        <v>563</v>
      </c>
      <c r="H206" s="2" t="str">
        <f t="shared" si="3"/>
        <v>("ORD-00205","2025-03-22","ELE-MOB-001","CX-025",2,49446,"Cash"),</v>
      </c>
      <c r="N206" s="2"/>
      <c r="P206" s="4"/>
    </row>
    <row r="207" spans="1:16" x14ac:dyDescent="0.3">
      <c r="A207" s="2" t="s">
        <v>772</v>
      </c>
      <c r="B207" s="5" t="s">
        <v>1728</v>
      </c>
      <c r="C207" s="2" t="s">
        <v>37</v>
      </c>
      <c r="D207" s="2" t="s">
        <v>350</v>
      </c>
      <c r="E207" s="2">
        <v>4</v>
      </c>
      <c r="F207" s="2">
        <v>81432</v>
      </c>
      <c r="G207" s="2" t="s">
        <v>572</v>
      </c>
      <c r="H207" s="2" t="str">
        <f t="shared" si="3"/>
        <v>("ORD-00206","2025-09-10","ELE-CAM-036","CX-109",4,81432,"Card"),</v>
      </c>
      <c r="N207" s="2"/>
      <c r="P207" s="4"/>
    </row>
    <row r="208" spans="1:16" x14ac:dyDescent="0.3">
      <c r="A208" s="2" t="s">
        <v>773</v>
      </c>
      <c r="B208" s="5" t="s">
        <v>1729</v>
      </c>
      <c r="C208" s="2" t="s">
        <v>36</v>
      </c>
      <c r="D208" s="2" t="s">
        <v>445</v>
      </c>
      <c r="E208" s="2">
        <v>1</v>
      </c>
      <c r="F208" s="2">
        <v>24742</v>
      </c>
      <c r="G208" s="2" t="s">
        <v>567</v>
      </c>
      <c r="H208" s="2" t="str">
        <f t="shared" si="3"/>
        <v>("ORD-00207","2025-01-05","ELE-CAM-035","CX-060",1,24742,"Wallet"),</v>
      </c>
      <c r="N208" s="2"/>
      <c r="P208" s="4"/>
    </row>
    <row r="209" spans="1:16" x14ac:dyDescent="0.3">
      <c r="A209" s="2" t="s">
        <v>774</v>
      </c>
      <c r="B209" s="5" t="s">
        <v>1638</v>
      </c>
      <c r="C209" s="2" t="s">
        <v>97</v>
      </c>
      <c r="D209" s="2" t="s">
        <v>469</v>
      </c>
      <c r="E209" s="2">
        <v>5</v>
      </c>
      <c r="F209" s="2">
        <v>54435</v>
      </c>
      <c r="G209" s="2" t="s">
        <v>570</v>
      </c>
      <c r="H209" s="2" t="str">
        <f t="shared" si="3"/>
        <v>("ORD-00208","2025-02-25","HOM-DEC-096","CX-047",5,54435,"UPI"),</v>
      </c>
      <c r="N209" s="2"/>
      <c r="P209" s="4"/>
    </row>
    <row r="210" spans="1:16" x14ac:dyDescent="0.3">
      <c r="A210" s="2" t="s">
        <v>775</v>
      </c>
      <c r="B210" s="5" t="s">
        <v>1730</v>
      </c>
      <c r="C210" s="2" t="s">
        <v>26</v>
      </c>
      <c r="D210" s="2" t="s">
        <v>542</v>
      </c>
      <c r="E210" s="2">
        <v>5</v>
      </c>
      <c r="F210" s="2">
        <v>145890</v>
      </c>
      <c r="G210" s="2" t="s">
        <v>565</v>
      </c>
      <c r="H210" s="2" t="str">
        <f t="shared" si="3"/>
        <v>("ORD-00209","2025-05-13","ELE-ACC-025","CX-008",5,145890,"NetBanking"),</v>
      </c>
      <c r="N210" s="2"/>
      <c r="P210" s="4"/>
    </row>
    <row r="211" spans="1:16" x14ac:dyDescent="0.3">
      <c r="A211" s="2" t="s">
        <v>776</v>
      </c>
      <c r="B211" s="5" t="s">
        <v>1731</v>
      </c>
      <c r="C211" s="2" t="s">
        <v>38</v>
      </c>
      <c r="D211" s="2" t="s">
        <v>372</v>
      </c>
      <c r="E211" s="2">
        <v>4</v>
      </c>
      <c r="F211" s="2">
        <v>44648</v>
      </c>
      <c r="G211" s="2" t="s">
        <v>570</v>
      </c>
      <c r="H211" s="2" t="str">
        <f t="shared" si="3"/>
        <v>("ORD-00210","2024-12-15","ELE-CAM-037","CX-098",4,44648,"UPI"),</v>
      </c>
      <c r="N211" s="2"/>
      <c r="P211" s="4"/>
    </row>
    <row r="212" spans="1:16" x14ac:dyDescent="0.3">
      <c r="A212" s="2" t="s">
        <v>777</v>
      </c>
      <c r="B212" s="5" t="s">
        <v>1648</v>
      </c>
      <c r="C212" s="2" t="s">
        <v>167</v>
      </c>
      <c r="D212" s="2" t="s">
        <v>443</v>
      </c>
      <c r="E212" s="2">
        <v>3</v>
      </c>
      <c r="F212" s="2">
        <v>101691</v>
      </c>
      <c r="G212" s="2" t="s">
        <v>565</v>
      </c>
      <c r="H212" s="2" t="str">
        <f t="shared" si="3"/>
        <v>("ORD-00211","2025-10-10","BEA-SKI-166","CX-061",3,101691,"NetBanking"),</v>
      </c>
      <c r="N212" s="2"/>
      <c r="P212" s="4"/>
    </row>
    <row r="213" spans="1:16" x14ac:dyDescent="0.3">
      <c r="A213" s="2" t="s">
        <v>778</v>
      </c>
      <c r="B213" s="5" t="s">
        <v>1732</v>
      </c>
      <c r="C213" s="2" t="s">
        <v>154</v>
      </c>
      <c r="D213" s="2" t="s">
        <v>456</v>
      </c>
      <c r="E213" s="2">
        <v>2</v>
      </c>
      <c r="F213" s="2">
        <v>21192</v>
      </c>
      <c r="G213" s="2" t="s">
        <v>570</v>
      </c>
      <c r="H213" s="2" t="str">
        <f t="shared" si="3"/>
        <v>("ORD-00212","2025-06-29","SPO-ACC-153","CX-054",2,21192,"UPI"),</v>
      </c>
      <c r="N213" s="2"/>
      <c r="P213" s="4"/>
    </row>
    <row r="214" spans="1:16" x14ac:dyDescent="0.3">
      <c r="A214" s="2" t="s">
        <v>779</v>
      </c>
      <c r="B214" s="5" t="s">
        <v>1733</v>
      </c>
      <c r="C214" s="2" t="s">
        <v>130</v>
      </c>
      <c r="D214" s="2" t="s">
        <v>454</v>
      </c>
      <c r="E214" s="2">
        <v>1</v>
      </c>
      <c r="F214" s="2">
        <v>30651</v>
      </c>
      <c r="G214" s="2" t="s">
        <v>570</v>
      </c>
      <c r="H214" s="2" t="str">
        <f t="shared" si="3"/>
        <v>("ORD-00213","2025-01-16","SPO-FIT-129","CX-055",1,30651,"UPI"),</v>
      </c>
      <c r="N214" s="2"/>
      <c r="P214" s="4"/>
    </row>
    <row r="215" spans="1:16" x14ac:dyDescent="0.3">
      <c r="A215" s="2" t="s">
        <v>780</v>
      </c>
      <c r="B215" s="5" t="s">
        <v>1706</v>
      </c>
      <c r="C215" s="2" t="s">
        <v>84</v>
      </c>
      <c r="D215" s="2" t="s">
        <v>358</v>
      </c>
      <c r="E215" s="2">
        <v>3</v>
      </c>
      <c r="F215" s="2">
        <v>1158</v>
      </c>
      <c r="G215" s="2" t="s">
        <v>570</v>
      </c>
      <c r="H215" s="2" t="str">
        <f t="shared" si="3"/>
        <v>("ORD-00214","2025-03-14","HOM-KIT-083","CX-105",3,1158,"UPI"),</v>
      </c>
      <c r="N215" s="2"/>
      <c r="P215" s="4"/>
    </row>
    <row r="216" spans="1:16" x14ac:dyDescent="0.3">
      <c r="A216" s="2" t="s">
        <v>781</v>
      </c>
      <c r="B216" s="5" t="s">
        <v>1627</v>
      </c>
      <c r="C216" s="2" t="s">
        <v>6</v>
      </c>
      <c r="D216" s="2" t="s">
        <v>318</v>
      </c>
      <c r="E216" s="2">
        <v>5</v>
      </c>
      <c r="F216" s="2">
        <v>81565</v>
      </c>
      <c r="G216" s="2" t="s">
        <v>572</v>
      </c>
      <c r="H216" s="2" t="str">
        <f t="shared" si="3"/>
        <v>("ORD-00215","2025-11-23","ELE-MOB-005","CX-120",5,81565,"Card"),</v>
      </c>
      <c r="N216" s="2"/>
      <c r="P216" s="4"/>
    </row>
    <row r="217" spans="1:16" x14ac:dyDescent="0.3">
      <c r="A217" s="2" t="s">
        <v>782</v>
      </c>
      <c r="B217" s="5" t="s">
        <v>1734</v>
      </c>
      <c r="C217" s="2" t="s">
        <v>173</v>
      </c>
      <c r="D217" s="2" t="s">
        <v>464</v>
      </c>
      <c r="E217" s="2">
        <v>2</v>
      </c>
      <c r="F217" s="2">
        <v>55834</v>
      </c>
      <c r="G217" s="2" t="s">
        <v>570</v>
      </c>
      <c r="H217" s="2" t="str">
        <f t="shared" si="3"/>
        <v>("ORD-00216","2025-03-17","BEA-HAI-172","CX-050",2,55834,"UPI"),</v>
      </c>
      <c r="N217" s="2"/>
      <c r="P217" s="4"/>
    </row>
    <row r="218" spans="1:16" x14ac:dyDescent="0.3">
      <c r="A218" s="2" t="s">
        <v>783</v>
      </c>
      <c r="B218" s="5" t="s">
        <v>1735</v>
      </c>
      <c r="C218" s="2" t="s">
        <v>96</v>
      </c>
      <c r="D218" s="2" t="s">
        <v>350</v>
      </c>
      <c r="E218" s="2">
        <v>3</v>
      </c>
      <c r="F218" s="2">
        <v>48444</v>
      </c>
      <c r="G218" s="2" t="s">
        <v>572</v>
      </c>
      <c r="H218" s="2" t="str">
        <f t="shared" si="3"/>
        <v>("ORD-00217","2025-03-31","HOM-DEC-095","CX-109",3,48444,"Card"),</v>
      </c>
      <c r="N218" s="2"/>
      <c r="P218" s="4"/>
    </row>
    <row r="219" spans="1:16" x14ac:dyDescent="0.3">
      <c r="A219" s="2" t="s">
        <v>784</v>
      </c>
      <c r="B219" s="5" t="s">
        <v>1736</v>
      </c>
      <c r="C219" s="2" t="s">
        <v>156</v>
      </c>
      <c r="D219" s="2" t="s">
        <v>344</v>
      </c>
      <c r="E219" s="2">
        <v>2</v>
      </c>
      <c r="F219" s="2">
        <v>47656</v>
      </c>
      <c r="G219" s="2" t="s">
        <v>572</v>
      </c>
      <c r="H219" s="2" t="str">
        <f t="shared" si="3"/>
        <v>("ORD-00218","2025-06-17","SPO-ACC-155","CX-111",2,47656,"Card"),</v>
      </c>
      <c r="N219" s="2"/>
      <c r="P219" s="4"/>
    </row>
    <row r="220" spans="1:16" x14ac:dyDescent="0.3">
      <c r="A220" s="2" t="s">
        <v>785</v>
      </c>
      <c r="B220" s="5" t="s">
        <v>1581</v>
      </c>
      <c r="C220" s="2" t="s">
        <v>149</v>
      </c>
      <c r="D220" s="2" t="s">
        <v>328</v>
      </c>
      <c r="E220" s="2">
        <v>2</v>
      </c>
      <c r="F220" s="2">
        <v>20764</v>
      </c>
      <c r="G220" s="2" t="s">
        <v>570</v>
      </c>
      <c r="H220" s="2" t="str">
        <f t="shared" si="3"/>
        <v>("ORD-00219","2025-07-28","SPO-IND-148","CX-117",2,20764,"UPI"),</v>
      </c>
      <c r="N220" s="2"/>
      <c r="P220" s="4"/>
    </row>
    <row r="221" spans="1:16" x14ac:dyDescent="0.3">
      <c r="A221" s="2" t="s">
        <v>786</v>
      </c>
      <c r="B221" s="5" t="s">
        <v>1646</v>
      </c>
      <c r="C221" s="2" t="s">
        <v>10</v>
      </c>
      <c r="D221" s="2" t="s">
        <v>458</v>
      </c>
      <c r="E221" s="2">
        <v>1</v>
      </c>
      <c r="F221" s="2">
        <v>52903</v>
      </c>
      <c r="G221" s="2" t="s">
        <v>572</v>
      </c>
      <c r="H221" s="2" t="str">
        <f t="shared" si="3"/>
        <v>("ORD-00220","2025-09-13","ELE-MOB-009","CX-053",1,52903,"Card"),</v>
      </c>
      <c r="N221" s="2"/>
      <c r="P221" s="4"/>
    </row>
    <row r="222" spans="1:16" x14ac:dyDescent="0.3">
      <c r="A222" s="2" t="s">
        <v>787</v>
      </c>
      <c r="B222" s="5" t="s">
        <v>1622</v>
      </c>
      <c r="C222" s="2" t="s">
        <v>108</v>
      </c>
      <c r="D222" s="2" t="s">
        <v>458</v>
      </c>
      <c r="E222" s="2">
        <v>3</v>
      </c>
      <c r="F222" s="2">
        <v>129822</v>
      </c>
      <c r="G222" s="2" t="s">
        <v>572</v>
      </c>
      <c r="H222" s="2" t="str">
        <f t="shared" si="3"/>
        <v>("ORD-00221","2025-06-26","HOM-APP-107","CX-053",3,129822,"Card"),</v>
      </c>
      <c r="N222" s="2"/>
      <c r="P222" s="4"/>
    </row>
    <row r="223" spans="1:16" x14ac:dyDescent="0.3">
      <c r="A223" s="2" t="s">
        <v>788</v>
      </c>
      <c r="B223" s="5" t="s">
        <v>1737</v>
      </c>
      <c r="C223" s="2" t="s">
        <v>86</v>
      </c>
      <c r="D223" s="2" t="s">
        <v>527</v>
      </c>
      <c r="E223" s="2">
        <v>1</v>
      </c>
      <c r="F223" s="2">
        <v>25186</v>
      </c>
      <c r="G223" s="2" t="s">
        <v>572</v>
      </c>
      <c r="H223" s="2" t="str">
        <f t="shared" si="3"/>
        <v>("ORD-00222","2025-02-02","HOM-KIT-085","CX-016",1,25186,"Card"),</v>
      </c>
      <c r="N223" s="2"/>
      <c r="P223" s="4"/>
    </row>
    <row r="224" spans="1:16" x14ac:dyDescent="0.3">
      <c r="A224" s="2" t="s">
        <v>789</v>
      </c>
      <c r="B224" s="5" t="s">
        <v>1738</v>
      </c>
      <c r="C224" s="2" t="s">
        <v>147</v>
      </c>
      <c r="D224" s="2" t="s">
        <v>403</v>
      </c>
      <c r="E224" s="2">
        <v>1</v>
      </c>
      <c r="F224" s="2">
        <v>37601</v>
      </c>
      <c r="G224" s="2" t="s">
        <v>572</v>
      </c>
      <c r="H224" s="2" t="str">
        <f t="shared" si="3"/>
        <v>("ORD-00223","2025-01-20","SPO-IND-146","CX-083",1,37601,"Card"),</v>
      </c>
      <c r="N224" s="2"/>
      <c r="P224" s="4"/>
    </row>
    <row r="225" spans="1:16" x14ac:dyDescent="0.3">
      <c r="A225" s="2" t="s">
        <v>790</v>
      </c>
      <c r="B225" s="5" t="s">
        <v>1739</v>
      </c>
      <c r="C225" s="2" t="s">
        <v>88</v>
      </c>
      <c r="D225" s="2" t="s">
        <v>533</v>
      </c>
      <c r="E225" s="2">
        <v>4</v>
      </c>
      <c r="F225" s="2">
        <v>169368</v>
      </c>
      <c r="G225" s="2" t="s">
        <v>572</v>
      </c>
      <c r="H225" s="2" t="str">
        <f t="shared" si="3"/>
        <v>("ORD-00224","2025-11-10","HOM-KIT-087","CX-013",4,169368,"Card"),</v>
      </c>
      <c r="N225" s="2"/>
      <c r="P225" s="4"/>
    </row>
    <row r="226" spans="1:16" x14ac:dyDescent="0.3">
      <c r="A226" s="2" t="s">
        <v>791</v>
      </c>
      <c r="B226" s="5" t="s">
        <v>1740</v>
      </c>
      <c r="C226" s="2" t="s">
        <v>119</v>
      </c>
      <c r="D226" s="2" t="s">
        <v>450</v>
      </c>
      <c r="E226" s="2">
        <v>4</v>
      </c>
      <c r="F226" s="2">
        <v>39168</v>
      </c>
      <c r="G226" s="2" t="s">
        <v>567</v>
      </c>
      <c r="H226" s="2" t="str">
        <f t="shared" si="3"/>
        <v>("ORD-00225","2025-07-17","HOM-FUR-118","CX-057",4,39168,"Wallet"),</v>
      </c>
      <c r="N226" s="2"/>
      <c r="P226" s="4"/>
    </row>
    <row r="227" spans="1:16" x14ac:dyDescent="0.3">
      <c r="A227" s="2" t="s">
        <v>792</v>
      </c>
      <c r="B227" s="5" t="s">
        <v>1741</v>
      </c>
      <c r="C227" s="2" t="s">
        <v>146</v>
      </c>
      <c r="D227" s="2" t="s">
        <v>477</v>
      </c>
      <c r="E227" s="2">
        <v>1</v>
      </c>
      <c r="F227" s="2">
        <v>46204</v>
      </c>
      <c r="G227" s="2" t="s">
        <v>567</v>
      </c>
      <c r="H227" s="2" t="str">
        <f t="shared" si="3"/>
        <v>("ORD-00226","2025-04-29","SPO-IND-145","CX-043",1,46204,"Wallet"),</v>
      </c>
      <c r="N227" s="2"/>
      <c r="P227" s="4"/>
    </row>
    <row r="228" spans="1:16" x14ac:dyDescent="0.3">
      <c r="A228" s="2" t="s">
        <v>793</v>
      </c>
      <c r="B228" s="5" t="s">
        <v>1742</v>
      </c>
      <c r="C228" s="2" t="s">
        <v>82</v>
      </c>
      <c r="D228" s="2" t="s">
        <v>473</v>
      </c>
      <c r="E228" s="2">
        <v>4</v>
      </c>
      <c r="F228" s="2">
        <v>80812</v>
      </c>
      <c r="G228" s="2" t="s">
        <v>563</v>
      </c>
      <c r="H228" s="2" t="str">
        <f t="shared" si="3"/>
        <v>("ORD-00227","2025-03-27","HOM-KIT-081","CX-045",4,80812,"Cash"),</v>
      </c>
      <c r="N228" s="2"/>
      <c r="P228" s="4"/>
    </row>
    <row r="229" spans="1:16" x14ac:dyDescent="0.3">
      <c r="A229" s="2" t="s">
        <v>794</v>
      </c>
      <c r="B229" s="5" t="s">
        <v>1679</v>
      </c>
      <c r="C229" s="2" t="s">
        <v>54</v>
      </c>
      <c r="D229" s="2" t="s">
        <v>370</v>
      </c>
      <c r="E229" s="2">
        <v>1</v>
      </c>
      <c r="F229" s="2">
        <v>8052</v>
      </c>
      <c r="G229" s="2" t="s">
        <v>570</v>
      </c>
      <c r="H229" s="2" t="str">
        <f t="shared" si="3"/>
        <v>("ORD-00228","2025-11-02","FAS-WOM-053","CX-099",1,8052,"UPI"),</v>
      </c>
      <c r="N229" s="2"/>
      <c r="P229" s="4"/>
    </row>
    <row r="230" spans="1:16" x14ac:dyDescent="0.3">
      <c r="A230" s="2" t="s">
        <v>795</v>
      </c>
      <c r="B230" s="5" t="s">
        <v>1678</v>
      </c>
      <c r="C230" s="2" t="s">
        <v>8</v>
      </c>
      <c r="D230" s="2" t="s">
        <v>431</v>
      </c>
      <c r="E230" s="2">
        <v>2</v>
      </c>
      <c r="F230" s="2">
        <v>108854</v>
      </c>
      <c r="G230" s="2" t="s">
        <v>563</v>
      </c>
      <c r="H230" s="2" t="str">
        <f t="shared" si="3"/>
        <v>("ORD-00229","2025-10-14","ELE-MOB-007","CX-068",2,108854,"Cash"),</v>
      </c>
      <c r="N230" s="2"/>
      <c r="P230" s="4"/>
    </row>
    <row r="231" spans="1:16" x14ac:dyDescent="0.3">
      <c r="A231" s="2" t="s">
        <v>796</v>
      </c>
      <c r="B231" s="5" t="s">
        <v>1743</v>
      </c>
      <c r="C231" s="2" t="s">
        <v>83</v>
      </c>
      <c r="D231" s="2" t="s">
        <v>497</v>
      </c>
      <c r="E231" s="2">
        <v>2</v>
      </c>
      <c r="F231" s="2">
        <v>53436</v>
      </c>
      <c r="G231" s="2" t="s">
        <v>563</v>
      </c>
      <c r="H231" s="2" t="str">
        <f t="shared" si="3"/>
        <v>("ORD-00230","2025-06-10","HOM-KIT-082","CX-032",2,53436,"Cash"),</v>
      </c>
      <c r="N231" s="2"/>
      <c r="P231" s="4"/>
    </row>
    <row r="232" spans="1:16" x14ac:dyDescent="0.3">
      <c r="A232" s="2" t="s">
        <v>797</v>
      </c>
      <c r="B232" s="5" t="s">
        <v>1744</v>
      </c>
      <c r="C232" s="2" t="s">
        <v>118</v>
      </c>
      <c r="D232" s="2" t="s">
        <v>523</v>
      </c>
      <c r="E232" s="2">
        <v>5</v>
      </c>
      <c r="F232" s="2">
        <v>14495</v>
      </c>
      <c r="G232" s="2" t="s">
        <v>567</v>
      </c>
      <c r="H232" s="2" t="str">
        <f t="shared" si="3"/>
        <v>("ORD-00231","2025-11-27","HOM-FUR-117","CX-018",5,14495,"Wallet"),</v>
      </c>
      <c r="N232" s="2"/>
      <c r="P232" s="4"/>
    </row>
    <row r="233" spans="1:16" x14ac:dyDescent="0.3">
      <c r="A233" s="2" t="s">
        <v>798</v>
      </c>
      <c r="B233" s="5" t="s">
        <v>1646</v>
      </c>
      <c r="C233" s="2" t="s">
        <v>192</v>
      </c>
      <c r="D233" s="2" t="s">
        <v>420</v>
      </c>
      <c r="E233" s="2">
        <v>2</v>
      </c>
      <c r="F233" s="2">
        <v>109110</v>
      </c>
      <c r="G233" s="2" t="s">
        <v>570</v>
      </c>
      <c r="H233" s="2" t="str">
        <f t="shared" si="3"/>
        <v>("ORD-00232","2025-09-13","BEA-FRA-191","CX-074",2,109110,"UPI"),</v>
      </c>
      <c r="N233" s="2"/>
      <c r="P233" s="4"/>
    </row>
    <row r="234" spans="1:16" x14ac:dyDescent="0.3">
      <c r="A234" s="2" t="s">
        <v>799</v>
      </c>
      <c r="B234" s="5" t="s">
        <v>1616</v>
      </c>
      <c r="C234" s="2" t="s">
        <v>32</v>
      </c>
      <c r="D234" s="2" t="s">
        <v>542</v>
      </c>
      <c r="E234" s="2">
        <v>3</v>
      </c>
      <c r="F234" s="2">
        <v>57723</v>
      </c>
      <c r="G234" s="2" t="s">
        <v>570</v>
      </c>
      <c r="H234" s="2" t="str">
        <f t="shared" si="3"/>
        <v>("ORD-00233","2025-10-09","ELE-CAM-031","CX-008",3,57723,"UPI"),</v>
      </c>
      <c r="N234" s="2"/>
      <c r="P234" s="4"/>
    </row>
    <row r="235" spans="1:16" x14ac:dyDescent="0.3">
      <c r="A235" s="2" t="s">
        <v>800</v>
      </c>
      <c r="B235" s="5" t="s">
        <v>1667</v>
      </c>
      <c r="C235" s="2" t="s">
        <v>90</v>
      </c>
      <c r="D235" s="2" t="s">
        <v>443</v>
      </c>
      <c r="E235" s="2">
        <v>3</v>
      </c>
      <c r="F235" s="2">
        <v>165213</v>
      </c>
      <c r="G235" s="2" t="s">
        <v>565</v>
      </c>
      <c r="H235" s="2" t="str">
        <f t="shared" si="3"/>
        <v>("ORD-00234","2025-01-31","HOM-KIT-089","CX-061",3,165213,"NetBanking"),</v>
      </c>
      <c r="N235" s="2"/>
      <c r="P235" s="4"/>
    </row>
    <row r="236" spans="1:16" x14ac:dyDescent="0.3">
      <c r="A236" s="2" t="s">
        <v>801</v>
      </c>
      <c r="B236" s="5" t="s">
        <v>1745</v>
      </c>
      <c r="C236" s="2" t="s">
        <v>176</v>
      </c>
      <c r="D236" s="2" t="s">
        <v>405</v>
      </c>
      <c r="E236" s="2">
        <v>4</v>
      </c>
      <c r="F236" s="2">
        <v>105620</v>
      </c>
      <c r="G236" s="2" t="s">
        <v>567</v>
      </c>
      <c r="H236" s="2" t="str">
        <f t="shared" si="3"/>
        <v>("ORD-00235","2025-07-31","BEA-HAI-175","CX-082",4,105620,"Wallet"),</v>
      </c>
      <c r="N236" s="2"/>
      <c r="P236" s="4"/>
    </row>
    <row r="237" spans="1:16" x14ac:dyDescent="0.3">
      <c r="A237" s="2" t="s">
        <v>802</v>
      </c>
      <c r="B237" s="5" t="s">
        <v>1653</v>
      </c>
      <c r="C237" s="2" t="s">
        <v>58</v>
      </c>
      <c r="D237" s="2" t="s">
        <v>372</v>
      </c>
      <c r="E237" s="2">
        <v>2</v>
      </c>
      <c r="F237" s="2">
        <v>80664</v>
      </c>
      <c r="G237" s="2" t="s">
        <v>565</v>
      </c>
      <c r="H237" s="2" t="str">
        <f t="shared" si="3"/>
        <v>("ORD-00236","2025-04-30","FAS-WOM-057","CX-098",2,80664,"NetBanking"),</v>
      </c>
      <c r="N237" s="2"/>
      <c r="P237" s="4"/>
    </row>
    <row r="238" spans="1:16" x14ac:dyDescent="0.3">
      <c r="A238" s="2" t="s">
        <v>803</v>
      </c>
      <c r="B238" s="5" t="s">
        <v>1693</v>
      </c>
      <c r="C238" s="2" t="s">
        <v>55</v>
      </c>
      <c r="D238" s="2" t="s">
        <v>331</v>
      </c>
      <c r="E238" s="2">
        <v>4</v>
      </c>
      <c r="F238" s="2">
        <v>15016</v>
      </c>
      <c r="G238" s="2" t="s">
        <v>563</v>
      </c>
      <c r="H238" s="2" t="str">
        <f t="shared" si="3"/>
        <v>("ORD-00237","2025-05-27","FAS-WOM-054","CX-116",4,15016,"Cash"),</v>
      </c>
      <c r="N238" s="2"/>
      <c r="P238" s="4"/>
    </row>
    <row r="239" spans="1:16" x14ac:dyDescent="0.3">
      <c r="A239" s="2" t="s">
        <v>804</v>
      </c>
      <c r="B239" s="5" t="s">
        <v>1746</v>
      </c>
      <c r="C239" s="2" t="s">
        <v>143</v>
      </c>
      <c r="D239" s="2" t="s">
        <v>407</v>
      </c>
      <c r="E239" s="2">
        <v>3</v>
      </c>
      <c r="F239" s="2">
        <v>81591</v>
      </c>
      <c r="G239" s="2" t="s">
        <v>570</v>
      </c>
      <c r="H239" s="2" t="str">
        <f t="shared" si="3"/>
        <v>("ORD-00238","2025-05-19","SPO-IND-142","CX-081",3,81591,"UPI"),</v>
      </c>
      <c r="N239" s="2"/>
      <c r="P239" s="4"/>
    </row>
    <row r="240" spans="1:16" x14ac:dyDescent="0.3">
      <c r="A240" s="2" t="s">
        <v>805</v>
      </c>
      <c r="B240" s="5" t="s">
        <v>1747</v>
      </c>
      <c r="C240" s="2" t="s">
        <v>61</v>
      </c>
      <c r="D240" s="2" t="s">
        <v>378</v>
      </c>
      <c r="E240" s="2">
        <v>3</v>
      </c>
      <c r="F240" s="2">
        <v>152640</v>
      </c>
      <c r="G240" s="2" t="s">
        <v>572</v>
      </c>
      <c r="H240" s="2" t="str">
        <f t="shared" si="3"/>
        <v>("ORD-00239","2025-07-04","FAS-WOM-060","CX-095",3,152640,"Card"),</v>
      </c>
      <c r="N240" s="2"/>
      <c r="P240" s="4"/>
    </row>
    <row r="241" spans="1:16" x14ac:dyDescent="0.3">
      <c r="A241" s="2" t="s">
        <v>806</v>
      </c>
      <c r="B241" s="5" t="s">
        <v>1748</v>
      </c>
      <c r="C241" s="2" t="s">
        <v>128</v>
      </c>
      <c r="D241" s="2" t="s">
        <v>443</v>
      </c>
      <c r="E241" s="2">
        <v>3</v>
      </c>
      <c r="F241" s="2">
        <v>621</v>
      </c>
      <c r="G241" s="2" t="s">
        <v>563</v>
      </c>
      <c r="H241" s="2" t="str">
        <f t="shared" si="3"/>
        <v>("ORD-00240","2025-04-03","SPO-FIT-127","CX-061",3,621,"Cash"),</v>
      </c>
      <c r="N241" s="2"/>
      <c r="P241" s="4"/>
    </row>
    <row r="242" spans="1:16" x14ac:dyDescent="0.3">
      <c r="A242" s="2" t="s">
        <v>807</v>
      </c>
      <c r="B242" s="5" t="s">
        <v>1661</v>
      </c>
      <c r="C242" s="2" t="s">
        <v>40</v>
      </c>
      <c r="D242" s="2" t="s">
        <v>324</v>
      </c>
      <c r="E242" s="2">
        <v>5</v>
      </c>
      <c r="F242" s="2">
        <v>53655</v>
      </c>
      <c r="G242" s="2" t="s">
        <v>570</v>
      </c>
      <c r="H242" s="2" t="str">
        <f t="shared" si="3"/>
        <v>("ORD-00241","2025-05-30","ELE-CAM-039","CX-118",5,53655,"UPI"),</v>
      </c>
      <c r="N242" s="2"/>
      <c r="P242" s="4"/>
    </row>
    <row r="243" spans="1:16" x14ac:dyDescent="0.3">
      <c r="A243" s="2" t="s">
        <v>808</v>
      </c>
      <c r="B243" s="5" t="s">
        <v>1749</v>
      </c>
      <c r="C243" s="2" t="s">
        <v>179</v>
      </c>
      <c r="D243" s="2" t="s">
        <v>431</v>
      </c>
      <c r="E243" s="2">
        <v>2</v>
      </c>
      <c r="F243" s="2">
        <v>70112</v>
      </c>
      <c r="G243" s="2" t="s">
        <v>563</v>
      </c>
      <c r="H243" s="2" t="str">
        <f t="shared" si="3"/>
        <v>("ORD-00242","2025-07-14","BEA-HAI-178","CX-068",2,70112,"Cash"),</v>
      </c>
      <c r="N243" s="2"/>
      <c r="P243" s="4"/>
    </row>
    <row r="244" spans="1:16" x14ac:dyDescent="0.3">
      <c r="A244" s="2" t="s">
        <v>809</v>
      </c>
      <c r="B244" s="5" t="s">
        <v>1750</v>
      </c>
      <c r="C244" s="2" t="s">
        <v>102</v>
      </c>
      <c r="D244" s="2" t="s">
        <v>395</v>
      </c>
      <c r="E244" s="2">
        <v>1</v>
      </c>
      <c r="F244" s="2">
        <v>52733</v>
      </c>
      <c r="G244" s="2" t="s">
        <v>570</v>
      </c>
      <c r="H244" s="2" t="str">
        <f t="shared" si="3"/>
        <v>("ORD-00243","2025-09-07","HOM-APP-101","CX-087",1,52733,"UPI"),</v>
      </c>
      <c r="N244" s="2"/>
      <c r="P244" s="4"/>
    </row>
    <row r="245" spans="1:16" x14ac:dyDescent="0.3">
      <c r="A245" s="2" t="s">
        <v>810</v>
      </c>
      <c r="B245" s="5" t="s">
        <v>1688</v>
      </c>
      <c r="C245" s="2" t="s">
        <v>76</v>
      </c>
      <c r="D245" s="2" t="s">
        <v>382</v>
      </c>
      <c r="E245" s="2">
        <v>1</v>
      </c>
      <c r="F245" s="2">
        <v>48782</v>
      </c>
      <c r="G245" s="2" t="s">
        <v>570</v>
      </c>
      <c r="H245" s="2" t="str">
        <f t="shared" si="3"/>
        <v>("ORD-00244","2025-10-19","FAS-FOO-075","CX-093",1,48782,"UPI"),</v>
      </c>
      <c r="N245" s="2"/>
      <c r="P245" s="4"/>
    </row>
    <row r="246" spans="1:16" x14ac:dyDescent="0.3">
      <c r="A246" s="2" t="s">
        <v>811</v>
      </c>
      <c r="B246" s="5" t="s">
        <v>1751</v>
      </c>
      <c r="C246" s="2" t="s">
        <v>131</v>
      </c>
      <c r="D246" s="2" t="s">
        <v>499</v>
      </c>
      <c r="E246" s="2">
        <v>2</v>
      </c>
      <c r="F246" s="2">
        <v>20426</v>
      </c>
      <c r="G246" s="2" t="s">
        <v>565</v>
      </c>
      <c r="H246" s="2" t="str">
        <f t="shared" si="3"/>
        <v>("ORD-00245","2025-11-18","SPO-FIT-130","CX-031",2,20426,"NetBanking"),</v>
      </c>
      <c r="N246" s="2"/>
      <c r="P246" s="4"/>
    </row>
    <row r="247" spans="1:16" x14ac:dyDescent="0.3">
      <c r="A247" s="2" t="s">
        <v>812</v>
      </c>
      <c r="B247" s="5" t="s">
        <v>1752</v>
      </c>
      <c r="C247" s="2" t="s">
        <v>31</v>
      </c>
      <c r="D247" s="2" t="s">
        <v>491</v>
      </c>
      <c r="E247" s="2">
        <v>1</v>
      </c>
      <c r="F247" s="2">
        <v>38034</v>
      </c>
      <c r="G247" s="2" t="s">
        <v>563</v>
      </c>
      <c r="H247" s="2" t="str">
        <f t="shared" si="3"/>
        <v>("ORD-00246","2025-08-19","ELE-ACC-030","CX-035",1,38034,"Cash"),</v>
      </c>
      <c r="N247" s="2"/>
      <c r="P247" s="4"/>
    </row>
    <row r="248" spans="1:16" x14ac:dyDescent="0.3">
      <c r="A248" s="2" t="s">
        <v>813</v>
      </c>
      <c r="B248" s="5" t="s">
        <v>1612</v>
      </c>
      <c r="C248" s="2" t="s">
        <v>102</v>
      </c>
      <c r="D248" s="2" t="s">
        <v>458</v>
      </c>
      <c r="E248" s="2">
        <v>2</v>
      </c>
      <c r="F248" s="2">
        <v>105466</v>
      </c>
      <c r="G248" s="2" t="s">
        <v>565</v>
      </c>
      <c r="H248" s="2" t="str">
        <f t="shared" si="3"/>
        <v>("ORD-00247","2025-03-05","HOM-APP-101","CX-053",2,105466,"NetBanking"),</v>
      </c>
      <c r="N248" s="2"/>
      <c r="P248" s="4"/>
    </row>
    <row r="249" spans="1:16" x14ac:dyDescent="0.3">
      <c r="A249" s="2" t="s">
        <v>814</v>
      </c>
      <c r="B249" s="5" t="s">
        <v>1695</v>
      </c>
      <c r="C249" s="2" t="s">
        <v>123</v>
      </c>
      <c r="D249" s="2" t="s">
        <v>481</v>
      </c>
      <c r="E249" s="2">
        <v>1</v>
      </c>
      <c r="F249" s="2">
        <v>36937</v>
      </c>
      <c r="G249" s="2" t="s">
        <v>565</v>
      </c>
      <c r="H249" s="2" t="str">
        <f t="shared" si="3"/>
        <v>("ORD-00248","2025-07-23","SPO-FIT-122","CX-041",1,36937,"NetBanking"),</v>
      </c>
      <c r="N249" s="2"/>
      <c r="P249" s="4"/>
    </row>
    <row r="250" spans="1:16" x14ac:dyDescent="0.3">
      <c r="A250" s="2" t="s">
        <v>815</v>
      </c>
      <c r="B250" s="5" t="s">
        <v>1753</v>
      </c>
      <c r="C250" s="2" t="s">
        <v>121</v>
      </c>
      <c r="D250" s="2" t="s">
        <v>487</v>
      </c>
      <c r="E250" s="2">
        <v>5</v>
      </c>
      <c r="F250" s="2">
        <v>262760</v>
      </c>
      <c r="G250" s="2" t="s">
        <v>567</v>
      </c>
      <c r="H250" s="2" t="str">
        <f t="shared" si="3"/>
        <v>("ORD-00249","2025-04-07","HOM-FUR-120","CX-037",5,262760,"Wallet"),</v>
      </c>
      <c r="N250" s="2"/>
      <c r="P250" s="4"/>
    </row>
    <row r="251" spans="1:16" x14ac:dyDescent="0.3">
      <c r="A251" s="2" t="s">
        <v>816</v>
      </c>
      <c r="B251" s="5" t="s">
        <v>1680</v>
      </c>
      <c r="C251" s="2" t="s">
        <v>156</v>
      </c>
      <c r="D251" s="2" t="s">
        <v>546</v>
      </c>
      <c r="E251" s="2">
        <v>1</v>
      </c>
      <c r="F251" s="2">
        <v>23828</v>
      </c>
      <c r="G251" s="2" t="s">
        <v>565</v>
      </c>
      <c r="H251" s="2" t="str">
        <f t="shared" si="3"/>
        <v>("ORD-00250","2025-11-25","SPO-ACC-155","CX-006",1,23828,"NetBanking"),</v>
      </c>
      <c r="N251" s="2"/>
      <c r="P251" s="4"/>
    </row>
    <row r="252" spans="1:16" x14ac:dyDescent="0.3">
      <c r="A252" s="2" t="s">
        <v>817</v>
      </c>
      <c r="B252" s="5" t="s">
        <v>1754</v>
      </c>
      <c r="C252" s="2" t="s">
        <v>119</v>
      </c>
      <c r="D252" s="2" t="s">
        <v>469</v>
      </c>
      <c r="E252" s="2">
        <v>5</v>
      </c>
      <c r="F252" s="2">
        <v>48960</v>
      </c>
      <c r="G252" s="2" t="s">
        <v>563</v>
      </c>
      <c r="H252" s="2" t="str">
        <f t="shared" si="3"/>
        <v>("ORD-00251","2025-03-06","HOM-FUR-118","CX-047",5,48960,"Cash"),</v>
      </c>
      <c r="N252" s="2"/>
      <c r="P252" s="4"/>
    </row>
    <row r="253" spans="1:16" x14ac:dyDescent="0.3">
      <c r="A253" s="2" t="s">
        <v>818</v>
      </c>
      <c r="B253" s="5" t="s">
        <v>1676</v>
      </c>
      <c r="C253" s="2" t="s">
        <v>100</v>
      </c>
      <c r="D253" s="2" t="s">
        <v>431</v>
      </c>
      <c r="E253" s="2">
        <v>4</v>
      </c>
      <c r="F253" s="2">
        <v>194916</v>
      </c>
      <c r="G253" s="2" t="s">
        <v>570</v>
      </c>
      <c r="H253" s="2" t="str">
        <f t="shared" si="3"/>
        <v>("ORD-00252","2025-03-29","HOM-DEC-099","CX-068",4,194916,"UPI"),</v>
      </c>
      <c r="N253" s="2"/>
      <c r="P253" s="4"/>
    </row>
    <row r="254" spans="1:16" x14ac:dyDescent="0.3">
      <c r="A254" s="2" t="s">
        <v>819</v>
      </c>
      <c r="B254" s="5" t="s">
        <v>1755</v>
      </c>
      <c r="C254" s="2" t="s">
        <v>194</v>
      </c>
      <c r="D254" s="2" t="s">
        <v>436</v>
      </c>
      <c r="E254" s="2">
        <v>5</v>
      </c>
      <c r="F254" s="2">
        <v>148110</v>
      </c>
      <c r="G254" s="2" t="s">
        <v>565</v>
      </c>
      <c r="H254" s="2" t="str">
        <f t="shared" si="3"/>
        <v>("ORD-00253","2025-09-04","BEA-FRA-193","CX-065",5,148110,"NetBanking"),</v>
      </c>
      <c r="N254" s="2"/>
      <c r="P254" s="4"/>
    </row>
    <row r="255" spans="1:16" x14ac:dyDescent="0.3">
      <c r="A255" s="2" t="s">
        <v>820</v>
      </c>
      <c r="B255" s="5" t="s">
        <v>1660</v>
      </c>
      <c r="C255" s="2" t="s">
        <v>161</v>
      </c>
      <c r="D255" s="2" t="s">
        <v>395</v>
      </c>
      <c r="E255" s="2">
        <v>1</v>
      </c>
      <c r="F255" s="2">
        <v>36835</v>
      </c>
      <c r="G255" s="2" t="s">
        <v>567</v>
      </c>
      <c r="H255" s="2" t="str">
        <f t="shared" si="3"/>
        <v>("ORD-00254","2024-12-06","SPO-ACC-160","CX-087",1,36835,"Wallet"),</v>
      </c>
      <c r="N255" s="2"/>
      <c r="P255" s="4"/>
    </row>
    <row r="256" spans="1:16" x14ac:dyDescent="0.3">
      <c r="A256" s="2" t="s">
        <v>821</v>
      </c>
      <c r="B256" s="5" t="s">
        <v>1622</v>
      </c>
      <c r="C256" s="2" t="s">
        <v>7</v>
      </c>
      <c r="D256" s="2" t="s">
        <v>397</v>
      </c>
      <c r="E256" s="2">
        <v>2</v>
      </c>
      <c r="F256" s="2">
        <v>100756</v>
      </c>
      <c r="G256" s="2" t="s">
        <v>567</v>
      </c>
      <c r="H256" s="2" t="str">
        <f t="shared" si="3"/>
        <v>("ORD-00255","2025-06-26","ELE-MOB-006","CX-086",2,100756,"Wallet"),</v>
      </c>
      <c r="N256" s="2"/>
      <c r="P256" s="4"/>
    </row>
    <row r="257" spans="1:16" x14ac:dyDescent="0.3">
      <c r="A257" s="2" t="s">
        <v>822</v>
      </c>
      <c r="B257" s="5" t="s">
        <v>1607</v>
      </c>
      <c r="C257" s="2" t="s">
        <v>120</v>
      </c>
      <c r="D257" s="2" t="s">
        <v>527</v>
      </c>
      <c r="E257" s="2">
        <v>3</v>
      </c>
      <c r="F257" s="2">
        <v>58110</v>
      </c>
      <c r="G257" s="2" t="s">
        <v>572</v>
      </c>
      <c r="H257" s="2" t="str">
        <f t="shared" si="3"/>
        <v>("ORD-00256","2024-12-21","HOM-FUR-119","CX-016",3,58110,"Card"),</v>
      </c>
      <c r="N257" s="2"/>
      <c r="P257" s="4"/>
    </row>
    <row r="258" spans="1:16" x14ac:dyDescent="0.3">
      <c r="A258" s="2" t="s">
        <v>823</v>
      </c>
      <c r="B258" s="5" t="s">
        <v>1732</v>
      </c>
      <c r="C258" s="2" t="s">
        <v>163</v>
      </c>
      <c r="D258" s="2" t="s">
        <v>539</v>
      </c>
      <c r="E258" s="2">
        <v>1</v>
      </c>
      <c r="F258" s="2">
        <v>57387</v>
      </c>
      <c r="G258" s="2" t="s">
        <v>567</v>
      </c>
      <c r="H258" s="2" t="str">
        <f t="shared" si="3"/>
        <v>("ORD-00257","2025-06-29","BEA-SKI-162","CX-010",1,57387,"Wallet"),</v>
      </c>
      <c r="N258" s="2"/>
      <c r="P258" s="4"/>
    </row>
    <row r="259" spans="1:16" x14ac:dyDescent="0.3">
      <c r="A259" s="2" t="s">
        <v>824</v>
      </c>
      <c r="B259" s="5" t="s">
        <v>1643</v>
      </c>
      <c r="C259" s="2" t="s">
        <v>147</v>
      </c>
      <c r="D259" s="2" t="s">
        <v>422</v>
      </c>
      <c r="E259" s="2">
        <v>4</v>
      </c>
      <c r="F259" s="2">
        <v>150404</v>
      </c>
      <c r="G259" s="2" t="s">
        <v>572</v>
      </c>
      <c r="H259" s="2" t="str">
        <f t="shared" ref="H259:H322" si="4">"("""&amp;A259&amp;""","""&amp;B259&amp;""","""&amp;C259&amp;""","""&amp;D259&amp;""","&amp;E259&amp;","&amp;F259&amp;","""&amp;G259&amp;"""),"</f>
        <v>("ORD-00258","2025-01-19","SPO-IND-146","CX-073",4,150404,"Card"),</v>
      </c>
      <c r="N259" s="2"/>
      <c r="P259" s="4"/>
    </row>
    <row r="260" spans="1:16" x14ac:dyDescent="0.3">
      <c r="A260" s="2" t="s">
        <v>825</v>
      </c>
      <c r="B260" s="5" t="s">
        <v>1756</v>
      </c>
      <c r="C260" s="2" t="s">
        <v>103</v>
      </c>
      <c r="D260" s="2" t="s">
        <v>529</v>
      </c>
      <c r="E260" s="2">
        <v>4</v>
      </c>
      <c r="F260" s="2">
        <v>7396</v>
      </c>
      <c r="G260" s="2" t="s">
        <v>565</v>
      </c>
      <c r="H260" s="2" t="str">
        <f t="shared" si="4"/>
        <v>("ORD-00259","2025-04-04","HOM-APP-102","CX-015",4,7396,"NetBanking"),</v>
      </c>
      <c r="N260" s="2"/>
      <c r="P260" s="4"/>
    </row>
    <row r="261" spans="1:16" x14ac:dyDescent="0.3">
      <c r="A261" s="2" t="s">
        <v>826</v>
      </c>
      <c r="B261" s="5" t="s">
        <v>1659</v>
      </c>
      <c r="C261" s="2" t="s">
        <v>141</v>
      </c>
      <c r="D261" s="2" t="s">
        <v>331</v>
      </c>
      <c r="E261" s="2">
        <v>2</v>
      </c>
      <c r="F261" s="2">
        <v>56184</v>
      </c>
      <c r="G261" s="2" t="s">
        <v>567</v>
      </c>
      <c r="H261" s="2" t="str">
        <f t="shared" si="4"/>
        <v>("ORD-00260","2025-02-22","SPO-OUT-140","CX-116",2,56184,"Wallet"),</v>
      </c>
      <c r="N261" s="2"/>
      <c r="P261" s="4"/>
    </row>
    <row r="262" spans="1:16" x14ac:dyDescent="0.3">
      <c r="A262" s="2" t="s">
        <v>827</v>
      </c>
      <c r="B262" s="5" t="s">
        <v>1757</v>
      </c>
      <c r="C262" s="2" t="s">
        <v>168</v>
      </c>
      <c r="D262" s="2" t="s">
        <v>471</v>
      </c>
      <c r="E262" s="2">
        <v>5</v>
      </c>
      <c r="F262" s="2">
        <v>285935</v>
      </c>
      <c r="G262" s="2" t="s">
        <v>565</v>
      </c>
      <c r="H262" s="2" t="str">
        <f t="shared" si="4"/>
        <v>("ORD-00261","2025-06-25","BEA-SKI-167","CX-046",5,285935,"NetBanking"),</v>
      </c>
      <c r="N262" s="2"/>
      <c r="P262" s="4"/>
    </row>
    <row r="263" spans="1:16" x14ac:dyDescent="0.3">
      <c r="A263" s="2" t="s">
        <v>828</v>
      </c>
      <c r="B263" s="5" t="s">
        <v>1629</v>
      </c>
      <c r="C263" s="2" t="s">
        <v>198</v>
      </c>
      <c r="D263" s="2" t="s">
        <v>541</v>
      </c>
      <c r="E263" s="2">
        <v>1</v>
      </c>
      <c r="F263" s="2">
        <v>40850</v>
      </c>
      <c r="G263" s="2" t="s">
        <v>565</v>
      </c>
      <c r="H263" s="2" t="str">
        <f t="shared" si="4"/>
        <v>("ORD-00262","2025-10-30","BEA-FRA-197","CX-009",1,40850,"NetBanking"),</v>
      </c>
      <c r="N263" s="2"/>
      <c r="P263" s="4"/>
    </row>
    <row r="264" spans="1:16" x14ac:dyDescent="0.3">
      <c r="A264" s="2" t="s">
        <v>829</v>
      </c>
      <c r="B264" s="5" t="s">
        <v>1748</v>
      </c>
      <c r="C264" s="2" t="s">
        <v>111</v>
      </c>
      <c r="D264" s="2" t="s">
        <v>362</v>
      </c>
      <c r="E264" s="2">
        <v>3</v>
      </c>
      <c r="F264" s="2">
        <v>54555</v>
      </c>
      <c r="G264" s="2" t="s">
        <v>567</v>
      </c>
      <c r="H264" s="2" t="str">
        <f t="shared" si="4"/>
        <v>("ORD-00263","2025-04-03","HOM-APP-110","CX-103",3,54555,"Wallet"),</v>
      </c>
      <c r="N264" s="2"/>
      <c r="P264" s="4"/>
    </row>
    <row r="265" spans="1:16" x14ac:dyDescent="0.3">
      <c r="A265" s="2" t="s">
        <v>830</v>
      </c>
      <c r="B265" s="5" t="s">
        <v>1758</v>
      </c>
      <c r="C265" s="2" t="s">
        <v>51</v>
      </c>
      <c r="D265" s="2" t="s">
        <v>515</v>
      </c>
      <c r="E265" s="2">
        <v>1</v>
      </c>
      <c r="F265" s="2">
        <v>16046</v>
      </c>
      <c r="G265" s="2" t="s">
        <v>572</v>
      </c>
      <c r="H265" s="2" t="str">
        <f t="shared" si="4"/>
        <v>("ORD-00264","2025-03-15","FAS-MEN-050","CX-023",1,16046,"Card"),</v>
      </c>
      <c r="N265" s="2"/>
      <c r="P265" s="4"/>
    </row>
    <row r="266" spans="1:16" x14ac:dyDescent="0.3">
      <c r="A266" s="2" t="s">
        <v>831</v>
      </c>
      <c r="B266" s="5" t="s">
        <v>1759</v>
      </c>
      <c r="C266" s="2" t="s">
        <v>121</v>
      </c>
      <c r="D266" s="2" t="s">
        <v>487</v>
      </c>
      <c r="E266" s="2">
        <v>2</v>
      </c>
      <c r="F266" s="2">
        <v>105104</v>
      </c>
      <c r="G266" s="2" t="s">
        <v>572</v>
      </c>
      <c r="H266" s="2" t="str">
        <f t="shared" si="4"/>
        <v>("ORD-00265","2025-08-09","HOM-FUR-120","CX-037",2,105104,"Card"),</v>
      </c>
      <c r="N266" s="2"/>
      <c r="P266" s="4"/>
    </row>
    <row r="267" spans="1:16" x14ac:dyDescent="0.3">
      <c r="A267" s="2" t="s">
        <v>832</v>
      </c>
      <c r="B267" s="5" t="s">
        <v>1760</v>
      </c>
      <c r="C267" s="2" t="s">
        <v>63</v>
      </c>
      <c r="D267" s="2" t="s">
        <v>439</v>
      </c>
      <c r="E267" s="2">
        <v>5</v>
      </c>
      <c r="F267" s="2">
        <v>223210</v>
      </c>
      <c r="G267" s="2" t="s">
        <v>572</v>
      </c>
      <c r="H267" s="2" t="str">
        <f t="shared" si="4"/>
        <v>("ORD-00266","2025-05-14","FAS-KID-062","CX-063",5,223210,"Card"),</v>
      </c>
      <c r="N267" s="2"/>
      <c r="P267" s="4"/>
    </row>
    <row r="268" spans="1:16" x14ac:dyDescent="0.3">
      <c r="A268" s="2" t="s">
        <v>833</v>
      </c>
      <c r="B268" s="5" t="s">
        <v>1761</v>
      </c>
      <c r="C268" s="2" t="s">
        <v>149</v>
      </c>
      <c r="D268" s="2" t="s">
        <v>517</v>
      </c>
      <c r="E268" s="2">
        <v>1</v>
      </c>
      <c r="F268" s="2">
        <v>10382</v>
      </c>
      <c r="G268" s="2" t="s">
        <v>567</v>
      </c>
      <c r="H268" s="2" t="str">
        <f t="shared" si="4"/>
        <v>("ORD-00267","2024-12-09","SPO-IND-148","CX-022",1,10382,"Wallet"),</v>
      </c>
      <c r="N268" s="2"/>
      <c r="P268" s="4"/>
    </row>
    <row r="269" spans="1:16" x14ac:dyDescent="0.3">
      <c r="A269" s="2" t="s">
        <v>834</v>
      </c>
      <c r="B269" s="5" t="s">
        <v>1762</v>
      </c>
      <c r="C269" s="2" t="s">
        <v>102</v>
      </c>
      <c r="D269" s="2" t="s">
        <v>331</v>
      </c>
      <c r="E269" s="2">
        <v>1</v>
      </c>
      <c r="F269" s="2">
        <v>52733</v>
      </c>
      <c r="G269" s="2" t="s">
        <v>567</v>
      </c>
      <c r="H269" s="2" t="str">
        <f t="shared" si="4"/>
        <v>("ORD-00268","2025-10-17","HOM-APP-101","CX-116",1,52733,"Wallet"),</v>
      </c>
      <c r="N269" s="2"/>
      <c r="P269" s="4"/>
    </row>
    <row r="270" spans="1:16" x14ac:dyDescent="0.3">
      <c r="A270" s="2" t="s">
        <v>835</v>
      </c>
      <c r="B270" s="5" t="s">
        <v>1763</v>
      </c>
      <c r="C270" s="2" t="s">
        <v>24</v>
      </c>
      <c r="D270" s="2" t="s">
        <v>523</v>
      </c>
      <c r="E270" s="2">
        <v>1</v>
      </c>
      <c r="F270" s="2">
        <v>40609</v>
      </c>
      <c r="G270" s="2" t="s">
        <v>565</v>
      </c>
      <c r="H270" s="2" t="str">
        <f t="shared" si="4"/>
        <v>("ORD-00269","2025-10-31","ELE-ACC-023","CX-018",1,40609,"NetBanking"),</v>
      </c>
      <c r="N270" s="2"/>
      <c r="P270" s="4"/>
    </row>
    <row r="271" spans="1:16" x14ac:dyDescent="0.3">
      <c r="A271" s="2" t="s">
        <v>836</v>
      </c>
      <c r="B271" s="5" t="s">
        <v>1706</v>
      </c>
      <c r="C271" s="2" t="s">
        <v>31</v>
      </c>
      <c r="D271" s="2" t="s">
        <v>418</v>
      </c>
      <c r="E271" s="2">
        <v>4</v>
      </c>
      <c r="F271" s="2">
        <v>152136</v>
      </c>
      <c r="G271" s="2" t="s">
        <v>563</v>
      </c>
      <c r="H271" s="2" t="str">
        <f t="shared" si="4"/>
        <v>("ORD-00270","2025-03-14","ELE-ACC-030","CX-075",4,152136,"Cash"),</v>
      </c>
      <c r="N271" s="2"/>
      <c r="P271" s="4"/>
    </row>
    <row r="272" spans="1:16" x14ac:dyDescent="0.3">
      <c r="A272" s="2" t="s">
        <v>837</v>
      </c>
      <c r="B272" s="5" t="s">
        <v>1607</v>
      </c>
      <c r="C272" s="2" t="s">
        <v>133</v>
      </c>
      <c r="D272" s="2" t="s">
        <v>356</v>
      </c>
      <c r="E272" s="2">
        <v>2</v>
      </c>
      <c r="F272" s="2">
        <v>82516</v>
      </c>
      <c r="G272" s="2" t="s">
        <v>572</v>
      </c>
      <c r="H272" s="2" t="str">
        <f t="shared" si="4"/>
        <v>("ORD-00271","2024-12-21","SPO-OUT-132","CX-106",2,82516,"Card"),</v>
      </c>
      <c r="N272" s="2"/>
      <c r="P272" s="4"/>
    </row>
    <row r="273" spans="1:16" x14ac:dyDescent="0.3">
      <c r="A273" s="2" t="s">
        <v>838</v>
      </c>
      <c r="B273" s="5" t="s">
        <v>1645</v>
      </c>
      <c r="C273" s="2" t="s">
        <v>87</v>
      </c>
      <c r="D273" s="2" t="s">
        <v>511</v>
      </c>
      <c r="E273" s="2">
        <v>1</v>
      </c>
      <c r="F273" s="2">
        <v>50029</v>
      </c>
      <c r="G273" s="2" t="s">
        <v>565</v>
      </c>
      <c r="H273" s="2" t="str">
        <f t="shared" si="4"/>
        <v>("ORD-00272","2024-12-07","HOM-KIT-086","CX-025",1,50029,"NetBanking"),</v>
      </c>
      <c r="N273" s="2"/>
      <c r="P273" s="4"/>
    </row>
    <row r="274" spans="1:16" x14ac:dyDescent="0.3">
      <c r="A274" s="2" t="s">
        <v>839</v>
      </c>
      <c r="B274" s="5" t="s">
        <v>1764</v>
      </c>
      <c r="C274" s="2" t="s">
        <v>116</v>
      </c>
      <c r="D274" s="2" t="s">
        <v>372</v>
      </c>
      <c r="E274" s="2">
        <v>2</v>
      </c>
      <c r="F274" s="2">
        <v>103624</v>
      </c>
      <c r="G274" s="2" t="s">
        <v>572</v>
      </c>
      <c r="H274" s="2" t="str">
        <f t="shared" si="4"/>
        <v>("ORD-00273","2025-07-09","HOM-FUR-115","CX-098",2,103624,"Card"),</v>
      </c>
      <c r="N274" s="2"/>
      <c r="P274" s="4"/>
    </row>
    <row r="275" spans="1:16" x14ac:dyDescent="0.3">
      <c r="A275" s="2" t="s">
        <v>840</v>
      </c>
      <c r="B275" s="5" t="s">
        <v>1765</v>
      </c>
      <c r="C275" s="2" t="s">
        <v>142</v>
      </c>
      <c r="D275" s="2" t="s">
        <v>507</v>
      </c>
      <c r="E275" s="2">
        <v>3</v>
      </c>
      <c r="F275" s="2">
        <v>107712</v>
      </c>
      <c r="G275" s="2" t="s">
        <v>570</v>
      </c>
      <c r="H275" s="2" t="str">
        <f t="shared" si="4"/>
        <v>("ORD-00274","2025-11-15","SPO-IND-141","CX-027",3,107712,"UPI"),</v>
      </c>
      <c r="N275" s="2"/>
      <c r="P275" s="4"/>
    </row>
    <row r="276" spans="1:16" x14ac:dyDescent="0.3">
      <c r="A276" s="2" t="s">
        <v>841</v>
      </c>
      <c r="B276" s="5" t="s">
        <v>1600</v>
      </c>
      <c r="C276" s="2" t="s">
        <v>172</v>
      </c>
      <c r="D276" s="2" t="s">
        <v>483</v>
      </c>
      <c r="E276" s="2">
        <v>4</v>
      </c>
      <c r="F276" s="2">
        <v>232532</v>
      </c>
      <c r="G276" s="2" t="s">
        <v>567</v>
      </c>
      <c r="H276" s="2" t="str">
        <f t="shared" si="4"/>
        <v>("ORD-00275","2025-03-10","BEA-HAI-171","CX-040",4,232532,"Wallet"),</v>
      </c>
      <c r="N276" s="2"/>
      <c r="P276" s="4"/>
    </row>
    <row r="277" spans="1:16" x14ac:dyDescent="0.3">
      <c r="A277" s="2" t="s">
        <v>842</v>
      </c>
      <c r="B277" s="5" t="s">
        <v>1743</v>
      </c>
      <c r="C277" s="2" t="s">
        <v>98</v>
      </c>
      <c r="D277" s="2" t="s">
        <v>544</v>
      </c>
      <c r="E277" s="2">
        <v>5</v>
      </c>
      <c r="F277" s="2">
        <v>81805</v>
      </c>
      <c r="G277" s="2" t="s">
        <v>570</v>
      </c>
      <c r="H277" s="2" t="str">
        <f t="shared" si="4"/>
        <v>("ORD-00276","2025-06-10","HOM-DEC-097","CX-007",5,81805,"UPI"),</v>
      </c>
      <c r="N277" s="2"/>
      <c r="P277" s="4"/>
    </row>
    <row r="278" spans="1:16" x14ac:dyDescent="0.3">
      <c r="A278" s="2" t="s">
        <v>843</v>
      </c>
      <c r="B278" s="5" t="s">
        <v>1766</v>
      </c>
      <c r="C278" s="2" t="s">
        <v>35</v>
      </c>
      <c r="D278" s="2" t="s">
        <v>331</v>
      </c>
      <c r="E278" s="2">
        <v>2</v>
      </c>
      <c r="F278" s="2">
        <v>118558</v>
      </c>
      <c r="G278" s="2" t="s">
        <v>570</v>
      </c>
      <c r="H278" s="2" t="str">
        <f t="shared" si="4"/>
        <v>("ORD-00277","2025-03-16","ELE-CAM-034","CX-116",2,118558,"UPI"),</v>
      </c>
      <c r="N278" s="2"/>
      <c r="P278" s="4"/>
    </row>
    <row r="279" spans="1:16" x14ac:dyDescent="0.3">
      <c r="A279" s="2" t="s">
        <v>844</v>
      </c>
      <c r="B279" s="5" t="s">
        <v>1767</v>
      </c>
      <c r="C279" s="2" t="s">
        <v>24</v>
      </c>
      <c r="D279" s="2" t="s">
        <v>541</v>
      </c>
      <c r="E279" s="2">
        <v>1</v>
      </c>
      <c r="F279" s="2">
        <v>40609</v>
      </c>
      <c r="G279" s="2" t="s">
        <v>570</v>
      </c>
      <c r="H279" s="2" t="str">
        <f t="shared" si="4"/>
        <v>("ORD-00278","2024-11-29","ELE-ACC-023","CX-009",1,40609,"UPI"),</v>
      </c>
      <c r="N279" s="2"/>
      <c r="P279" s="4"/>
    </row>
    <row r="280" spans="1:16" x14ac:dyDescent="0.3">
      <c r="A280" s="2" t="s">
        <v>845</v>
      </c>
      <c r="B280" s="5" t="s">
        <v>1768</v>
      </c>
      <c r="C280" s="2" t="s">
        <v>94</v>
      </c>
      <c r="D280" s="2" t="s">
        <v>403</v>
      </c>
      <c r="E280" s="2">
        <v>2</v>
      </c>
      <c r="F280" s="2">
        <v>58536</v>
      </c>
      <c r="G280" s="2" t="s">
        <v>565</v>
      </c>
      <c r="H280" s="2" t="str">
        <f t="shared" si="4"/>
        <v>("ORD-00279","2025-10-18","HOM-DEC-093","CX-083",2,58536,"NetBanking"),</v>
      </c>
      <c r="N280" s="2"/>
      <c r="P280" s="4"/>
    </row>
    <row r="281" spans="1:16" x14ac:dyDescent="0.3">
      <c r="A281" s="2" t="s">
        <v>846</v>
      </c>
      <c r="B281" s="5" t="s">
        <v>1769</v>
      </c>
      <c r="C281" s="2" t="s">
        <v>122</v>
      </c>
      <c r="D281" s="2" t="s">
        <v>391</v>
      </c>
      <c r="E281" s="2">
        <v>4</v>
      </c>
      <c r="F281" s="2">
        <v>101896</v>
      </c>
      <c r="G281" s="2" t="s">
        <v>563</v>
      </c>
      <c r="H281" s="2" t="str">
        <f t="shared" si="4"/>
        <v>("ORD-00280","2025-07-01","SPO-FIT-121","CX-089",4,101896,"Cash"),</v>
      </c>
      <c r="N281" s="2"/>
      <c r="P281" s="4"/>
    </row>
    <row r="282" spans="1:16" x14ac:dyDescent="0.3">
      <c r="A282" s="2" t="s">
        <v>847</v>
      </c>
      <c r="B282" s="5" t="s">
        <v>1582</v>
      </c>
      <c r="C282" s="2" t="s">
        <v>57</v>
      </c>
      <c r="D282" s="2" t="s">
        <v>491</v>
      </c>
      <c r="E282" s="2">
        <v>3</v>
      </c>
      <c r="F282" s="2">
        <v>65106</v>
      </c>
      <c r="G282" s="2" t="s">
        <v>567</v>
      </c>
      <c r="H282" s="2" t="str">
        <f t="shared" si="4"/>
        <v>("ORD-00281","2025-09-19","FAS-WOM-056","CX-035",3,65106,"Wallet"),</v>
      </c>
      <c r="N282" s="2"/>
      <c r="P282" s="4"/>
    </row>
    <row r="283" spans="1:16" x14ac:dyDescent="0.3">
      <c r="A283" s="2" t="s">
        <v>848</v>
      </c>
      <c r="B283" s="5" t="s">
        <v>1662</v>
      </c>
      <c r="C283" s="2" t="s">
        <v>137</v>
      </c>
      <c r="D283" s="2" t="s">
        <v>553</v>
      </c>
      <c r="E283" s="2">
        <v>2</v>
      </c>
      <c r="F283" s="2">
        <v>37782</v>
      </c>
      <c r="G283" s="2" t="s">
        <v>572</v>
      </c>
      <c r="H283" s="2" t="str">
        <f t="shared" si="4"/>
        <v>("ORD-00282","2025-01-21","SPO-OUT-136","CX-002",2,37782,"Card"),</v>
      </c>
      <c r="N283" s="2"/>
      <c r="P283" s="4"/>
    </row>
    <row r="284" spans="1:16" x14ac:dyDescent="0.3">
      <c r="A284" s="2" t="s">
        <v>849</v>
      </c>
      <c r="B284" s="5" t="s">
        <v>1720</v>
      </c>
      <c r="C284" s="2" t="s">
        <v>196</v>
      </c>
      <c r="D284" s="2" t="s">
        <v>513</v>
      </c>
      <c r="E284" s="2">
        <v>4</v>
      </c>
      <c r="F284" s="2">
        <v>234840</v>
      </c>
      <c r="G284" s="2" t="s">
        <v>570</v>
      </c>
      <c r="H284" s="2" t="str">
        <f t="shared" si="4"/>
        <v>("ORD-00283","2025-08-20","BEA-FRA-195","CX-024",4,234840,"UPI"),</v>
      </c>
      <c r="N284" s="2"/>
      <c r="P284" s="4"/>
    </row>
    <row r="285" spans="1:16" x14ac:dyDescent="0.3">
      <c r="A285" s="2" t="s">
        <v>850</v>
      </c>
      <c r="B285" s="5" t="s">
        <v>1616</v>
      </c>
      <c r="C285" s="2" t="s">
        <v>163</v>
      </c>
      <c r="D285" s="2" t="s">
        <v>387</v>
      </c>
      <c r="E285" s="2">
        <v>1</v>
      </c>
      <c r="F285" s="2">
        <v>57387</v>
      </c>
      <c r="G285" s="2" t="s">
        <v>570</v>
      </c>
      <c r="H285" s="2" t="str">
        <f t="shared" si="4"/>
        <v>("ORD-00284","2025-10-09","BEA-SKI-162","CX-091",1,57387,"UPI"),</v>
      </c>
      <c r="N285" s="2"/>
      <c r="P285" s="4"/>
    </row>
    <row r="286" spans="1:16" x14ac:dyDescent="0.3">
      <c r="A286" s="2" t="s">
        <v>851</v>
      </c>
      <c r="B286" s="5" t="s">
        <v>1669</v>
      </c>
      <c r="C286" s="2" t="s">
        <v>53</v>
      </c>
      <c r="D286" s="2" t="s">
        <v>426</v>
      </c>
      <c r="E286" s="2">
        <v>5</v>
      </c>
      <c r="F286" s="2">
        <v>77330</v>
      </c>
      <c r="G286" s="2" t="s">
        <v>567</v>
      </c>
      <c r="H286" s="2" t="str">
        <f t="shared" si="4"/>
        <v>("ORD-00285","2025-08-14","FAS-WOM-052","CX-071",5,77330,"Wallet"),</v>
      </c>
      <c r="N286" s="2"/>
      <c r="P286" s="4"/>
    </row>
    <row r="287" spans="1:16" x14ac:dyDescent="0.3">
      <c r="A287" s="2" t="s">
        <v>852</v>
      </c>
      <c r="B287" s="5" t="s">
        <v>1770</v>
      </c>
      <c r="C287" s="2" t="s">
        <v>38</v>
      </c>
      <c r="D287" s="2" t="s">
        <v>422</v>
      </c>
      <c r="E287" s="2">
        <v>2</v>
      </c>
      <c r="F287" s="2">
        <v>22324</v>
      </c>
      <c r="G287" s="2" t="s">
        <v>567</v>
      </c>
      <c r="H287" s="2" t="str">
        <f t="shared" si="4"/>
        <v>("ORD-00286","2025-05-10","ELE-CAM-037","CX-073",2,22324,"Wallet"),</v>
      </c>
      <c r="N287" s="2"/>
      <c r="P287" s="4"/>
    </row>
    <row r="288" spans="1:16" x14ac:dyDescent="0.3">
      <c r="A288" s="2" t="s">
        <v>853</v>
      </c>
      <c r="B288" s="5" t="s">
        <v>1622</v>
      </c>
      <c r="C288" s="2" t="s">
        <v>201</v>
      </c>
      <c r="D288" s="2" t="s">
        <v>450</v>
      </c>
      <c r="E288" s="2">
        <v>1</v>
      </c>
      <c r="F288" s="2">
        <v>8762</v>
      </c>
      <c r="G288" s="2" t="s">
        <v>563</v>
      </c>
      <c r="H288" s="2" t="str">
        <f t="shared" si="4"/>
        <v>("ORD-00287","2025-06-26","BEA-FRA-200","CX-057",1,8762,"Cash"),</v>
      </c>
      <c r="N288" s="2"/>
      <c r="P288" s="4"/>
    </row>
    <row r="289" spans="1:16" x14ac:dyDescent="0.3">
      <c r="A289" s="2" t="s">
        <v>854</v>
      </c>
      <c r="B289" s="5" t="s">
        <v>1714</v>
      </c>
      <c r="C289" s="2" t="s">
        <v>158</v>
      </c>
      <c r="D289" s="2" t="s">
        <v>405</v>
      </c>
      <c r="E289" s="2">
        <v>1</v>
      </c>
      <c r="F289" s="2">
        <v>18980</v>
      </c>
      <c r="G289" s="2" t="s">
        <v>570</v>
      </c>
      <c r="H289" s="2" t="str">
        <f t="shared" si="4"/>
        <v>("ORD-00288","2024-12-18","SPO-ACC-157","CX-082",1,18980,"UPI"),</v>
      </c>
      <c r="N289" s="2"/>
      <c r="P289" s="4"/>
    </row>
    <row r="290" spans="1:16" x14ac:dyDescent="0.3">
      <c r="A290" s="2" t="s">
        <v>855</v>
      </c>
      <c r="B290" s="5" t="s">
        <v>1629</v>
      </c>
      <c r="C290" s="2" t="s">
        <v>49</v>
      </c>
      <c r="D290" s="2" t="s">
        <v>523</v>
      </c>
      <c r="E290" s="2">
        <v>4</v>
      </c>
      <c r="F290" s="2">
        <v>41540</v>
      </c>
      <c r="G290" s="2" t="s">
        <v>572</v>
      </c>
      <c r="H290" s="2" t="str">
        <f t="shared" si="4"/>
        <v>("ORD-00289","2025-10-30","FAS-MEN-048","CX-018",4,41540,"Card"),</v>
      </c>
      <c r="N290" s="2"/>
      <c r="P290" s="4"/>
    </row>
    <row r="291" spans="1:16" x14ac:dyDescent="0.3">
      <c r="A291" s="2" t="s">
        <v>856</v>
      </c>
      <c r="B291" s="5" t="s">
        <v>1713</v>
      </c>
      <c r="C291" s="2" t="s">
        <v>174</v>
      </c>
      <c r="D291" s="2" t="s">
        <v>499</v>
      </c>
      <c r="E291" s="2">
        <v>3</v>
      </c>
      <c r="F291" s="2">
        <v>117009</v>
      </c>
      <c r="G291" s="2" t="s">
        <v>572</v>
      </c>
      <c r="H291" s="2" t="str">
        <f t="shared" si="4"/>
        <v>("ORD-00290","2025-04-06","BEA-HAI-173","CX-031",3,117009,"Card"),</v>
      </c>
      <c r="N291" s="2"/>
      <c r="P291" s="4"/>
    </row>
    <row r="292" spans="1:16" x14ac:dyDescent="0.3">
      <c r="A292" s="2" t="s">
        <v>857</v>
      </c>
      <c r="B292" s="5" t="s">
        <v>1576</v>
      </c>
      <c r="C292" s="2" t="s">
        <v>127</v>
      </c>
      <c r="D292" s="2" t="s">
        <v>318</v>
      </c>
      <c r="E292" s="2">
        <v>3</v>
      </c>
      <c r="F292" s="2">
        <v>26274</v>
      </c>
      <c r="G292" s="2" t="s">
        <v>570</v>
      </c>
      <c r="H292" s="2" t="str">
        <f t="shared" si="4"/>
        <v>("ORD-00291","2025-07-24","SPO-FIT-126","CX-120",3,26274,"UPI"),</v>
      </c>
      <c r="N292" s="2"/>
      <c r="P292" s="4"/>
    </row>
    <row r="293" spans="1:16" x14ac:dyDescent="0.3">
      <c r="A293" s="2" t="s">
        <v>858</v>
      </c>
      <c r="B293" s="5" t="s">
        <v>1742</v>
      </c>
      <c r="C293" s="2" t="s">
        <v>104</v>
      </c>
      <c r="D293" s="2" t="s">
        <v>464</v>
      </c>
      <c r="E293" s="2">
        <v>2</v>
      </c>
      <c r="F293" s="2">
        <v>72662</v>
      </c>
      <c r="G293" s="2" t="s">
        <v>572</v>
      </c>
      <c r="H293" s="2" t="str">
        <f t="shared" si="4"/>
        <v>("ORD-00292","2025-03-27","HOM-APP-103","CX-050",2,72662,"Card"),</v>
      </c>
      <c r="N293" s="2"/>
      <c r="P293" s="4"/>
    </row>
    <row r="294" spans="1:16" x14ac:dyDescent="0.3">
      <c r="A294" s="2" t="s">
        <v>859</v>
      </c>
      <c r="B294" s="5" t="s">
        <v>1616</v>
      </c>
      <c r="C294" s="2" t="s">
        <v>102</v>
      </c>
      <c r="D294" s="2" t="s">
        <v>393</v>
      </c>
      <c r="E294" s="2">
        <v>2</v>
      </c>
      <c r="F294" s="2">
        <v>105466</v>
      </c>
      <c r="G294" s="2" t="s">
        <v>565</v>
      </c>
      <c r="H294" s="2" t="str">
        <f t="shared" si="4"/>
        <v>("ORD-00293","2025-10-09","HOM-APP-101","CX-088",2,105466,"NetBanking"),</v>
      </c>
      <c r="N294" s="2"/>
      <c r="P294" s="4"/>
    </row>
    <row r="295" spans="1:16" x14ac:dyDescent="0.3">
      <c r="A295" s="2" t="s">
        <v>860</v>
      </c>
      <c r="B295" s="5" t="s">
        <v>1648</v>
      </c>
      <c r="C295" s="2" t="s">
        <v>128</v>
      </c>
      <c r="D295" s="2" t="s">
        <v>350</v>
      </c>
      <c r="E295" s="2">
        <v>4</v>
      </c>
      <c r="F295" s="2">
        <v>828</v>
      </c>
      <c r="G295" s="2" t="s">
        <v>565</v>
      </c>
      <c r="H295" s="2" t="str">
        <f t="shared" si="4"/>
        <v>("ORD-00294","2025-10-10","SPO-FIT-127","CX-109",4,828,"NetBanking"),</v>
      </c>
      <c r="N295" s="2"/>
      <c r="P295" s="4"/>
    </row>
    <row r="296" spans="1:16" x14ac:dyDescent="0.3">
      <c r="A296" s="2" t="s">
        <v>861</v>
      </c>
      <c r="B296" s="5" t="s">
        <v>1771</v>
      </c>
      <c r="C296" s="2" t="s">
        <v>173</v>
      </c>
      <c r="D296" s="2" t="s">
        <v>368</v>
      </c>
      <c r="E296" s="2">
        <v>2</v>
      </c>
      <c r="F296" s="2">
        <v>55834</v>
      </c>
      <c r="G296" s="2" t="s">
        <v>570</v>
      </c>
      <c r="H296" s="2" t="str">
        <f t="shared" si="4"/>
        <v>("ORD-00295","2025-11-07","BEA-HAI-172","CX-100",2,55834,"UPI"),</v>
      </c>
      <c r="N296" s="2"/>
      <c r="P296" s="4"/>
    </row>
    <row r="297" spans="1:16" x14ac:dyDescent="0.3">
      <c r="A297" s="2" t="s">
        <v>862</v>
      </c>
      <c r="B297" s="5" t="s">
        <v>1772</v>
      </c>
      <c r="C297" s="2" t="s">
        <v>146</v>
      </c>
      <c r="D297" s="2" t="s">
        <v>493</v>
      </c>
      <c r="E297" s="2">
        <v>2</v>
      </c>
      <c r="F297" s="2">
        <v>92408</v>
      </c>
      <c r="G297" s="2" t="s">
        <v>570</v>
      </c>
      <c r="H297" s="2" t="str">
        <f t="shared" si="4"/>
        <v>("ORD-00296","2025-10-05","SPO-IND-145","CX-034",2,92408,"UPI"),</v>
      </c>
      <c r="N297" s="2"/>
      <c r="P297" s="4"/>
    </row>
    <row r="298" spans="1:16" x14ac:dyDescent="0.3">
      <c r="A298" s="2" t="s">
        <v>863</v>
      </c>
      <c r="B298" s="5" t="s">
        <v>1773</v>
      </c>
      <c r="C298" s="2" t="s">
        <v>89</v>
      </c>
      <c r="D298" s="2" t="s">
        <v>422</v>
      </c>
      <c r="E298" s="2">
        <v>4</v>
      </c>
      <c r="F298" s="2">
        <v>110900</v>
      </c>
      <c r="G298" s="2" t="s">
        <v>565</v>
      </c>
      <c r="H298" s="2" t="str">
        <f t="shared" si="4"/>
        <v>("ORD-00297","2024-12-10","HOM-KIT-088","CX-073",4,110900,"NetBanking"),</v>
      </c>
      <c r="N298" s="2"/>
      <c r="P298" s="4"/>
    </row>
    <row r="299" spans="1:16" x14ac:dyDescent="0.3">
      <c r="A299" s="2" t="s">
        <v>864</v>
      </c>
      <c r="B299" s="5" t="s">
        <v>1613</v>
      </c>
      <c r="C299" s="2" t="s">
        <v>167</v>
      </c>
      <c r="D299" s="2" t="s">
        <v>523</v>
      </c>
      <c r="E299" s="2">
        <v>2</v>
      </c>
      <c r="F299" s="2">
        <v>67794</v>
      </c>
      <c r="G299" s="2" t="s">
        <v>565</v>
      </c>
      <c r="H299" s="2" t="str">
        <f t="shared" si="4"/>
        <v>("ORD-00298","2025-04-01","BEA-SKI-166","CX-018",2,67794,"NetBanking"),</v>
      </c>
      <c r="N299" s="2"/>
      <c r="P299" s="4"/>
    </row>
    <row r="300" spans="1:16" x14ac:dyDescent="0.3">
      <c r="A300" s="2" t="s">
        <v>865</v>
      </c>
      <c r="B300" s="5" t="s">
        <v>1774</v>
      </c>
      <c r="C300" s="2" t="s">
        <v>201</v>
      </c>
      <c r="D300" s="2" t="s">
        <v>544</v>
      </c>
      <c r="E300" s="2">
        <v>4</v>
      </c>
      <c r="F300" s="2">
        <v>35048</v>
      </c>
      <c r="G300" s="2" t="s">
        <v>572</v>
      </c>
      <c r="H300" s="2" t="str">
        <f t="shared" si="4"/>
        <v>("ORD-00299","2025-11-05","BEA-FRA-200","CX-007",4,35048,"Card"),</v>
      </c>
      <c r="N300" s="2"/>
      <c r="P300" s="4"/>
    </row>
    <row r="301" spans="1:16" x14ac:dyDescent="0.3">
      <c r="A301" s="2" t="s">
        <v>866</v>
      </c>
      <c r="B301" s="5" t="s">
        <v>1656</v>
      </c>
      <c r="C301" s="2" t="s">
        <v>24</v>
      </c>
      <c r="D301" s="2" t="s">
        <v>376</v>
      </c>
      <c r="E301" s="2">
        <v>1</v>
      </c>
      <c r="F301" s="2">
        <v>40609</v>
      </c>
      <c r="G301" s="2" t="s">
        <v>570</v>
      </c>
      <c r="H301" s="2" t="str">
        <f t="shared" si="4"/>
        <v>("ORD-00300","2025-11-01","ELE-ACC-023","CX-096",1,40609,"UPI"),</v>
      </c>
      <c r="N301" s="2"/>
      <c r="P301" s="4"/>
    </row>
    <row r="302" spans="1:16" x14ac:dyDescent="0.3">
      <c r="A302" s="2" t="s">
        <v>867</v>
      </c>
      <c r="B302" s="5" t="s">
        <v>1625</v>
      </c>
      <c r="C302" s="2" t="s">
        <v>174</v>
      </c>
      <c r="D302" s="2" t="s">
        <v>447</v>
      </c>
      <c r="E302" s="2">
        <v>4</v>
      </c>
      <c r="F302" s="2">
        <v>156012</v>
      </c>
      <c r="G302" s="2" t="s">
        <v>570</v>
      </c>
      <c r="H302" s="2" t="str">
        <f t="shared" si="4"/>
        <v>("ORD-00301","2025-01-11","BEA-HAI-173","CX-059",4,156012,"UPI"),</v>
      </c>
      <c r="N302" s="2"/>
      <c r="P302" s="4"/>
    </row>
    <row r="303" spans="1:16" x14ac:dyDescent="0.3">
      <c r="A303" s="2" t="s">
        <v>868</v>
      </c>
      <c r="B303" s="5" t="s">
        <v>1597</v>
      </c>
      <c r="C303" s="2" t="s">
        <v>166</v>
      </c>
      <c r="D303" s="2" t="s">
        <v>499</v>
      </c>
      <c r="E303" s="2">
        <v>2</v>
      </c>
      <c r="F303" s="2">
        <v>79284</v>
      </c>
      <c r="G303" s="2" t="s">
        <v>565</v>
      </c>
      <c r="H303" s="2" t="str">
        <f t="shared" si="4"/>
        <v>("ORD-00302","2025-05-17","BEA-SKI-165","CX-031",2,79284,"NetBanking"),</v>
      </c>
      <c r="N303" s="2"/>
      <c r="P303" s="4"/>
    </row>
    <row r="304" spans="1:16" x14ac:dyDescent="0.3">
      <c r="A304" s="2" t="s">
        <v>869</v>
      </c>
      <c r="B304" s="5" t="s">
        <v>1775</v>
      </c>
      <c r="C304" s="2" t="s">
        <v>36</v>
      </c>
      <c r="D304" s="2" t="s">
        <v>412</v>
      </c>
      <c r="E304" s="2">
        <v>1</v>
      </c>
      <c r="F304" s="2">
        <v>24742</v>
      </c>
      <c r="G304" s="2" t="s">
        <v>572</v>
      </c>
      <c r="H304" s="2" t="str">
        <f t="shared" si="4"/>
        <v>("ORD-00303","2025-07-03","ELE-CAM-035","CX-078",1,24742,"Card"),</v>
      </c>
      <c r="N304" s="2"/>
      <c r="P304" s="4"/>
    </row>
    <row r="305" spans="1:16" x14ac:dyDescent="0.3">
      <c r="A305" s="2" t="s">
        <v>870</v>
      </c>
      <c r="B305" s="5" t="s">
        <v>1652</v>
      </c>
      <c r="C305" s="2" t="s">
        <v>28</v>
      </c>
      <c r="D305" s="2" t="s">
        <v>331</v>
      </c>
      <c r="E305" s="2">
        <v>4</v>
      </c>
      <c r="F305" s="2">
        <v>129748</v>
      </c>
      <c r="G305" s="2" t="s">
        <v>567</v>
      </c>
      <c r="H305" s="2" t="str">
        <f t="shared" si="4"/>
        <v>("ORD-00304","2025-08-31","ELE-ACC-027","CX-116",4,129748,"Wallet"),</v>
      </c>
      <c r="N305" s="2"/>
      <c r="P305" s="4"/>
    </row>
    <row r="306" spans="1:16" x14ac:dyDescent="0.3">
      <c r="A306" s="2" t="s">
        <v>871</v>
      </c>
      <c r="B306" s="5" t="s">
        <v>1776</v>
      </c>
      <c r="C306" s="2" t="s">
        <v>31</v>
      </c>
      <c r="D306" s="2" t="s">
        <v>493</v>
      </c>
      <c r="E306" s="2">
        <v>3</v>
      </c>
      <c r="F306" s="2">
        <v>114102</v>
      </c>
      <c r="G306" s="2" t="s">
        <v>570</v>
      </c>
      <c r="H306" s="2" t="str">
        <f t="shared" si="4"/>
        <v>("ORD-00305","2024-12-27","ELE-ACC-030","CX-034",3,114102,"UPI"),</v>
      </c>
      <c r="N306" s="2"/>
      <c r="P306" s="4"/>
    </row>
    <row r="307" spans="1:16" x14ac:dyDescent="0.3">
      <c r="A307" s="2" t="s">
        <v>872</v>
      </c>
      <c r="B307" s="5" t="s">
        <v>1766</v>
      </c>
      <c r="C307" s="2" t="s">
        <v>37</v>
      </c>
      <c r="D307" s="2" t="s">
        <v>527</v>
      </c>
      <c r="E307" s="2">
        <v>5</v>
      </c>
      <c r="F307" s="2">
        <v>101790</v>
      </c>
      <c r="G307" s="2" t="s">
        <v>563</v>
      </c>
      <c r="H307" s="2" t="str">
        <f t="shared" si="4"/>
        <v>("ORD-00306","2025-03-16","ELE-CAM-036","CX-016",5,101790,"Cash"),</v>
      </c>
      <c r="N307" s="2"/>
      <c r="P307" s="4"/>
    </row>
    <row r="308" spans="1:16" x14ac:dyDescent="0.3">
      <c r="A308" s="2" t="s">
        <v>873</v>
      </c>
      <c r="B308" s="5" t="s">
        <v>1777</v>
      </c>
      <c r="C308" s="2" t="s">
        <v>11</v>
      </c>
      <c r="D308" s="2" t="s">
        <v>382</v>
      </c>
      <c r="E308" s="2">
        <v>3</v>
      </c>
      <c r="F308" s="2">
        <v>5712</v>
      </c>
      <c r="G308" s="2" t="s">
        <v>563</v>
      </c>
      <c r="H308" s="2" t="str">
        <f t="shared" si="4"/>
        <v>("ORD-00307","2025-04-19","ELE-MOB-010","CX-093",3,5712,"Cash"),</v>
      </c>
      <c r="N308" s="2"/>
      <c r="P308" s="4"/>
    </row>
    <row r="309" spans="1:16" x14ac:dyDescent="0.3">
      <c r="A309" s="2" t="s">
        <v>874</v>
      </c>
      <c r="B309" s="5" t="s">
        <v>1735</v>
      </c>
      <c r="C309" s="2" t="s">
        <v>41</v>
      </c>
      <c r="D309" s="2" t="s">
        <v>403</v>
      </c>
      <c r="E309" s="2">
        <v>2</v>
      </c>
      <c r="F309" s="2">
        <v>2712</v>
      </c>
      <c r="G309" s="2" t="s">
        <v>565</v>
      </c>
      <c r="H309" s="2" t="str">
        <f t="shared" si="4"/>
        <v>("ORD-00308","2025-03-31","ELE-CAM-040","CX-083",2,2712,"NetBanking"),</v>
      </c>
      <c r="N309" s="2"/>
      <c r="P309" s="4"/>
    </row>
    <row r="310" spans="1:16" x14ac:dyDescent="0.3">
      <c r="A310" s="2" t="s">
        <v>875</v>
      </c>
      <c r="B310" s="5" t="s">
        <v>1602</v>
      </c>
      <c r="C310" s="2" t="s">
        <v>60</v>
      </c>
      <c r="D310" s="2" t="s">
        <v>350</v>
      </c>
      <c r="E310" s="2">
        <v>4</v>
      </c>
      <c r="F310" s="2">
        <v>138116</v>
      </c>
      <c r="G310" s="2" t="s">
        <v>572</v>
      </c>
      <c r="H310" s="2" t="str">
        <f t="shared" si="4"/>
        <v>("ORD-00309","2025-02-05","FAS-WOM-059","CX-109",4,138116,"Card"),</v>
      </c>
      <c r="N310" s="2"/>
      <c r="P310" s="4"/>
    </row>
    <row r="311" spans="1:16" x14ac:dyDescent="0.3">
      <c r="A311" s="2" t="s">
        <v>876</v>
      </c>
      <c r="B311" s="5" t="s">
        <v>1778</v>
      </c>
      <c r="C311" s="2" t="s">
        <v>172</v>
      </c>
      <c r="D311" s="2" t="s">
        <v>533</v>
      </c>
      <c r="E311" s="2">
        <v>5</v>
      </c>
      <c r="F311" s="2">
        <v>290665</v>
      </c>
      <c r="G311" s="2" t="s">
        <v>565</v>
      </c>
      <c r="H311" s="2" t="str">
        <f t="shared" si="4"/>
        <v>("ORD-00310","2025-09-01","BEA-HAI-171","CX-013",5,290665,"NetBanking"),</v>
      </c>
      <c r="N311" s="2"/>
      <c r="P311" s="4"/>
    </row>
    <row r="312" spans="1:16" x14ac:dyDescent="0.3">
      <c r="A312" s="2" t="s">
        <v>877</v>
      </c>
      <c r="B312" s="5" t="s">
        <v>1682</v>
      </c>
      <c r="C312" s="2" t="s">
        <v>133</v>
      </c>
      <c r="D312" s="2" t="s">
        <v>529</v>
      </c>
      <c r="E312" s="2">
        <v>5</v>
      </c>
      <c r="F312" s="2">
        <v>206290</v>
      </c>
      <c r="G312" s="2" t="s">
        <v>565</v>
      </c>
      <c r="H312" s="2" t="str">
        <f t="shared" si="4"/>
        <v>("ORD-00311","2025-02-26","SPO-OUT-132","CX-015",5,206290,"NetBanking"),</v>
      </c>
      <c r="N312" s="2"/>
      <c r="P312" s="4"/>
    </row>
    <row r="313" spans="1:16" x14ac:dyDescent="0.3">
      <c r="A313" s="2" t="s">
        <v>878</v>
      </c>
      <c r="B313" s="5" t="s">
        <v>1701</v>
      </c>
      <c r="C313" s="2" t="s">
        <v>82</v>
      </c>
      <c r="D313" s="2" t="s">
        <v>429</v>
      </c>
      <c r="E313" s="2">
        <v>4</v>
      </c>
      <c r="F313" s="2">
        <v>80812</v>
      </c>
      <c r="G313" s="2" t="s">
        <v>567</v>
      </c>
      <c r="H313" s="2" t="str">
        <f t="shared" si="4"/>
        <v>("ORD-00312","2025-06-11","HOM-KIT-081","CX-069",4,80812,"Wallet"),</v>
      </c>
      <c r="N313" s="2"/>
      <c r="P313" s="4"/>
    </row>
    <row r="314" spans="1:16" x14ac:dyDescent="0.3">
      <c r="A314" s="2" t="s">
        <v>879</v>
      </c>
      <c r="B314" s="5" t="s">
        <v>1617</v>
      </c>
      <c r="C314" s="2" t="s">
        <v>175</v>
      </c>
      <c r="D314" s="2" t="s">
        <v>410</v>
      </c>
      <c r="E314" s="2">
        <v>5</v>
      </c>
      <c r="F314" s="2">
        <v>229975</v>
      </c>
      <c r="G314" s="2" t="s">
        <v>567</v>
      </c>
      <c r="H314" s="2" t="str">
        <f t="shared" si="4"/>
        <v>("ORD-00313","2025-11-03","BEA-HAI-174","CX-079",5,229975,"Wallet"),</v>
      </c>
      <c r="N314" s="2"/>
      <c r="P314" s="4"/>
    </row>
    <row r="315" spans="1:16" x14ac:dyDescent="0.3">
      <c r="A315" s="2" t="s">
        <v>880</v>
      </c>
      <c r="B315" s="5" t="s">
        <v>1681</v>
      </c>
      <c r="C315" s="2" t="s">
        <v>129</v>
      </c>
      <c r="D315" s="2" t="s">
        <v>397</v>
      </c>
      <c r="E315" s="2">
        <v>4</v>
      </c>
      <c r="F315" s="2">
        <v>32812</v>
      </c>
      <c r="G315" s="2" t="s">
        <v>563</v>
      </c>
      <c r="H315" s="2" t="str">
        <f t="shared" si="4"/>
        <v>("ORD-00314","2025-11-12","SPO-FIT-128","CX-086",4,32812,"Cash"),</v>
      </c>
      <c r="N315" s="2"/>
      <c r="P315" s="4"/>
    </row>
    <row r="316" spans="1:16" x14ac:dyDescent="0.3">
      <c r="A316" s="2" t="s">
        <v>881</v>
      </c>
      <c r="B316" s="5" t="s">
        <v>1666</v>
      </c>
      <c r="C316" s="2" t="s">
        <v>33</v>
      </c>
      <c r="D316" s="2" t="s">
        <v>382</v>
      </c>
      <c r="E316" s="2">
        <v>4</v>
      </c>
      <c r="F316" s="2">
        <v>106044</v>
      </c>
      <c r="G316" s="2" t="s">
        <v>563</v>
      </c>
      <c r="H316" s="2" t="str">
        <f t="shared" si="4"/>
        <v>("ORD-00315","2025-02-23","ELE-CAM-032","CX-093",4,106044,"Cash"),</v>
      </c>
      <c r="N316" s="2"/>
      <c r="P316" s="4"/>
    </row>
    <row r="317" spans="1:16" x14ac:dyDescent="0.3">
      <c r="A317" s="2" t="s">
        <v>882</v>
      </c>
      <c r="B317" s="5" t="s">
        <v>1779</v>
      </c>
      <c r="C317" s="2" t="s">
        <v>118</v>
      </c>
      <c r="D317" s="2" t="s">
        <v>433</v>
      </c>
      <c r="E317" s="2">
        <v>3</v>
      </c>
      <c r="F317" s="2">
        <v>8697</v>
      </c>
      <c r="G317" s="2" t="s">
        <v>572</v>
      </c>
      <c r="H317" s="2" t="str">
        <f t="shared" si="4"/>
        <v>("ORD-00316","2025-02-27","HOM-FUR-117","CX-067",3,8697,"Card"),</v>
      </c>
      <c r="N317" s="2"/>
      <c r="P317" s="4"/>
    </row>
    <row r="318" spans="1:16" x14ac:dyDescent="0.3">
      <c r="A318" s="2" t="s">
        <v>883</v>
      </c>
      <c r="B318" s="5" t="s">
        <v>1780</v>
      </c>
      <c r="C318" s="2" t="s">
        <v>147</v>
      </c>
      <c r="D318" s="2" t="s">
        <v>479</v>
      </c>
      <c r="E318" s="2">
        <v>5</v>
      </c>
      <c r="F318" s="2">
        <v>188005</v>
      </c>
      <c r="G318" s="2" t="s">
        <v>572</v>
      </c>
      <c r="H318" s="2" t="str">
        <f t="shared" si="4"/>
        <v>("ORD-00317","2025-05-09","SPO-IND-146","CX-042",5,188005,"Card"),</v>
      </c>
      <c r="N318" s="2"/>
      <c r="P318" s="4"/>
    </row>
    <row r="319" spans="1:16" x14ac:dyDescent="0.3">
      <c r="A319" s="2" t="s">
        <v>884</v>
      </c>
      <c r="B319" s="5" t="s">
        <v>1715</v>
      </c>
      <c r="C319" s="2" t="s">
        <v>179</v>
      </c>
      <c r="D319" s="2" t="s">
        <v>522</v>
      </c>
      <c r="E319" s="2">
        <v>3</v>
      </c>
      <c r="F319" s="2">
        <v>105168</v>
      </c>
      <c r="G319" s="2" t="s">
        <v>570</v>
      </c>
      <c r="H319" s="2" t="str">
        <f t="shared" si="4"/>
        <v>("ORD-00318","2025-08-27","BEA-HAI-178","CX-019",3,105168,"UPI"),</v>
      </c>
      <c r="N319" s="2"/>
      <c r="P319" s="4"/>
    </row>
    <row r="320" spans="1:16" x14ac:dyDescent="0.3">
      <c r="A320" s="2" t="s">
        <v>885</v>
      </c>
      <c r="B320" s="5" t="s">
        <v>1781</v>
      </c>
      <c r="C320" s="2" t="s">
        <v>165</v>
      </c>
      <c r="D320" s="2" t="s">
        <v>322</v>
      </c>
      <c r="E320" s="2">
        <v>2</v>
      </c>
      <c r="F320" s="2">
        <v>93606</v>
      </c>
      <c r="G320" s="2" t="s">
        <v>570</v>
      </c>
      <c r="H320" s="2" t="str">
        <f t="shared" si="4"/>
        <v>("ORD-00319","2025-07-12","BEA-SKI-164","CX-119",2,93606,"UPI"),</v>
      </c>
      <c r="N320" s="2"/>
      <c r="P320" s="4"/>
    </row>
    <row r="321" spans="1:16" x14ac:dyDescent="0.3">
      <c r="A321" s="2" t="s">
        <v>886</v>
      </c>
      <c r="B321" s="5" t="s">
        <v>1782</v>
      </c>
      <c r="C321" s="2" t="s">
        <v>57</v>
      </c>
      <c r="D321" s="2" t="s">
        <v>477</v>
      </c>
      <c r="E321" s="2">
        <v>5</v>
      </c>
      <c r="F321" s="2">
        <v>108510</v>
      </c>
      <c r="G321" s="2" t="s">
        <v>572</v>
      </c>
      <c r="H321" s="2" t="str">
        <f t="shared" si="4"/>
        <v>("ORD-00320","2025-11-28","FAS-WOM-056","CX-043",5,108510,"Card"),</v>
      </c>
      <c r="N321" s="2"/>
      <c r="P321" s="4"/>
    </row>
    <row r="322" spans="1:16" x14ac:dyDescent="0.3">
      <c r="A322" s="2" t="s">
        <v>887</v>
      </c>
      <c r="B322" s="5" t="s">
        <v>1696</v>
      </c>
      <c r="C322" s="2" t="s">
        <v>60</v>
      </c>
      <c r="D322" s="2" t="s">
        <v>387</v>
      </c>
      <c r="E322" s="2">
        <v>5</v>
      </c>
      <c r="F322" s="2">
        <v>172645</v>
      </c>
      <c r="G322" s="2" t="s">
        <v>565</v>
      </c>
      <c r="H322" s="2" t="str">
        <f t="shared" si="4"/>
        <v>("ORD-00321","2025-04-02","FAS-WOM-059","CX-091",5,172645,"NetBanking"),</v>
      </c>
      <c r="N322" s="2"/>
      <c r="P322" s="4"/>
    </row>
    <row r="323" spans="1:16" x14ac:dyDescent="0.3">
      <c r="A323" s="2" t="s">
        <v>888</v>
      </c>
      <c r="B323" s="5" t="s">
        <v>1616</v>
      </c>
      <c r="C323" s="2" t="s">
        <v>116</v>
      </c>
      <c r="D323" s="2" t="s">
        <v>551</v>
      </c>
      <c r="E323" s="2">
        <v>3</v>
      </c>
      <c r="F323" s="2">
        <v>155436</v>
      </c>
      <c r="G323" s="2" t="s">
        <v>563</v>
      </c>
      <c r="H323" s="2" t="str">
        <f t="shared" ref="H323:H386" si="5">"("""&amp;A323&amp;""","""&amp;B323&amp;""","""&amp;C323&amp;""","""&amp;D323&amp;""","&amp;E323&amp;","&amp;F323&amp;","""&amp;G323&amp;"""),"</f>
        <v>("ORD-00322","2025-10-09","HOM-FUR-115","CX-003",3,155436,"Cash"),</v>
      </c>
      <c r="N323" s="2"/>
      <c r="P323" s="4"/>
    </row>
    <row r="324" spans="1:16" x14ac:dyDescent="0.3">
      <c r="A324" s="2" t="s">
        <v>889</v>
      </c>
      <c r="B324" s="5" t="s">
        <v>1783</v>
      </c>
      <c r="C324" s="2" t="s">
        <v>132</v>
      </c>
      <c r="D324" s="2" t="s">
        <v>339</v>
      </c>
      <c r="E324" s="2">
        <v>2</v>
      </c>
      <c r="F324" s="2">
        <v>115060</v>
      </c>
      <c r="G324" s="2" t="s">
        <v>572</v>
      </c>
      <c r="H324" s="2" t="str">
        <f t="shared" si="5"/>
        <v>("ORD-00323","2025-10-11","SPO-OUT-131","CX-113",2,115060,"Card"),</v>
      </c>
      <c r="N324" s="2"/>
      <c r="P324" s="4"/>
    </row>
    <row r="325" spans="1:16" x14ac:dyDescent="0.3">
      <c r="A325" s="2" t="s">
        <v>890</v>
      </c>
      <c r="B325" s="5" t="s">
        <v>1626</v>
      </c>
      <c r="C325" s="2" t="s">
        <v>112</v>
      </c>
      <c r="D325" s="2" t="s">
        <v>344</v>
      </c>
      <c r="E325" s="2">
        <v>3</v>
      </c>
      <c r="F325" s="2">
        <v>167700</v>
      </c>
      <c r="G325" s="2" t="s">
        <v>567</v>
      </c>
      <c r="H325" s="2" t="str">
        <f t="shared" si="5"/>
        <v>("ORD-00324","2025-03-19","HOM-FUR-111","CX-111",3,167700,"Wallet"),</v>
      </c>
      <c r="N325" s="2"/>
      <c r="P325" s="4"/>
    </row>
    <row r="326" spans="1:16" x14ac:dyDescent="0.3">
      <c r="A326" s="2" t="s">
        <v>891</v>
      </c>
      <c r="B326" s="5" t="s">
        <v>1777</v>
      </c>
      <c r="C326" s="2" t="s">
        <v>136</v>
      </c>
      <c r="D326" s="2" t="s">
        <v>344</v>
      </c>
      <c r="E326" s="2">
        <v>2</v>
      </c>
      <c r="F326" s="2">
        <v>8724</v>
      </c>
      <c r="G326" s="2" t="s">
        <v>572</v>
      </c>
      <c r="H326" s="2" t="str">
        <f t="shared" si="5"/>
        <v>("ORD-00325","2025-04-19","SPO-OUT-135","CX-111",2,8724,"Card"),</v>
      </c>
      <c r="N326" s="2"/>
      <c r="P326" s="4"/>
    </row>
    <row r="327" spans="1:16" x14ac:dyDescent="0.3">
      <c r="A327" s="2" t="s">
        <v>892</v>
      </c>
      <c r="B327" s="5" t="s">
        <v>1784</v>
      </c>
      <c r="C327" s="2" t="s">
        <v>37</v>
      </c>
      <c r="D327" s="2" t="s">
        <v>529</v>
      </c>
      <c r="E327" s="2">
        <v>3</v>
      </c>
      <c r="F327" s="2">
        <v>61074</v>
      </c>
      <c r="G327" s="2" t="s">
        <v>572</v>
      </c>
      <c r="H327" s="2" t="str">
        <f t="shared" si="5"/>
        <v>("ORD-00326","2025-04-27","ELE-CAM-036","CX-015",3,61074,"Card"),</v>
      </c>
      <c r="N327" s="2"/>
      <c r="P327" s="4"/>
    </row>
    <row r="328" spans="1:16" x14ac:dyDescent="0.3">
      <c r="A328" s="2" t="s">
        <v>893</v>
      </c>
      <c r="B328" s="5" t="s">
        <v>1694</v>
      </c>
      <c r="C328" s="2" t="s">
        <v>69</v>
      </c>
      <c r="D328" s="2" t="s">
        <v>393</v>
      </c>
      <c r="E328" s="2">
        <v>2</v>
      </c>
      <c r="F328" s="2">
        <v>30606</v>
      </c>
      <c r="G328" s="2" t="s">
        <v>563</v>
      </c>
      <c r="H328" s="2" t="str">
        <f t="shared" si="5"/>
        <v>("ORD-00327","2025-04-05","FAS-KID-068","CX-088",2,30606,"Cash"),</v>
      </c>
      <c r="N328" s="2"/>
      <c r="P328" s="4"/>
    </row>
    <row r="329" spans="1:16" x14ac:dyDescent="0.3">
      <c r="A329" s="2" t="s">
        <v>894</v>
      </c>
      <c r="B329" s="5" t="s">
        <v>1785</v>
      </c>
      <c r="C329" s="2" t="s">
        <v>21</v>
      </c>
      <c r="D329" s="2" t="s">
        <v>405</v>
      </c>
      <c r="E329" s="2">
        <v>4</v>
      </c>
      <c r="F329" s="2">
        <v>48020</v>
      </c>
      <c r="G329" s="2" t="s">
        <v>565</v>
      </c>
      <c r="H329" s="2" t="str">
        <f t="shared" si="5"/>
        <v>("ORD-00328","2025-10-29","ELE-LAP-020","CX-082",4,48020,"NetBanking"),</v>
      </c>
      <c r="N329" s="2"/>
      <c r="P329" s="4"/>
    </row>
    <row r="330" spans="1:16" x14ac:dyDescent="0.3">
      <c r="A330" s="2" t="s">
        <v>895</v>
      </c>
      <c r="B330" s="5" t="s">
        <v>1606</v>
      </c>
      <c r="C330" s="2" t="s">
        <v>29</v>
      </c>
      <c r="D330" s="2" t="s">
        <v>486</v>
      </c>
      <c r="E330" s="2">
        <v>2</v>
      </c>
      <c r="F330" s="2">
        <v>34838</v>
      </c>
      <c r="G330" s="2" t="s">
        <v>563</v>
      </c>
      <c r="H330" s="2" t="str">
        <f t="shared" si="5"/>
        <v>("ORD-00329","2025-06-12","ELE-ACC-028","CX-038",2,34838,"Cash"),</v>
      </c>
      <c r="N330" s="2"/>
      <c r="P330" s="4"/>
    </row>
    <row r="331" spans="1:16" x14ac:dyDescent="0.3">
      <c r="A331" s="2" t="s">
        <v>896</v>
      </c>
      <c r="B331" s="5" t="s">
        <v>1614</v>
      </c>
      <c r="C331" s="2" t="s">
        <v>167</v>
      </c>
      <c r="D331" s="2" t="s">
        <v>522</v>
      </c>
      <c r="E331" s="2">
        <v>5</v>
      </c>
      <c r="F331" s="2">
        <v>169485</v>
      </c>
      <c r="G331" s="2" t="s">
        <v>572</v>
      </c>
      <c r="H331" s="2" t="str">
        <f t="shared" si="5"/>
        <v>("ORD-00330","2024-12-31","BEA-SKI-166","CX-019",5,169485,"Card"),</v>
      </c>
      <c r="N331" s="2"/>
      <c r="P331" s="4"/>
    </row>
    <row r="332" spans="1:16" x14ac:dyDescent="0.3">
      <c r="A332" s="2" t="s">
        <v>897</v>
      </c>
      <c r="B332" s="5" t="s">
        <v>1641</v>
      </c>
      <c r="C332" s="2" t="s">
        <v>57</v>
      </c>
      <c r="D332" s="2" t="s">
        <v>391</v>
      </c>
      <c r="E332" s="2">
        <v>3</v>
      </c>
      <c r="F332" s="2">
        <v>65106</v>
      </c>
      <c r="G332" s="2" t="s">
        <v>563</v>
      </c>
      <c r="H332" s="2" t="str">
        <f t="shared" si="5"/>
        <v>("ORD-00331","2025-11-06","FAS-WOM-056","CX-089",3,65106,"Cash"),</v>
      </c>
      <c r="N332" s="2"/>
      <c r="P332" s="4"/>
    </row>
    <row r="333" spans="1:16" x14ac:dyDescent="0.3">
      <c r="A333" s="2" t="s">
        <v>898</v>
      </c>
      <c r="B333" s="5" t="s">
        <v>1786</v>
      </c>
      <c r="C333" s="2" t="s">
        <v>12</v>
      </c>
      <c r="D333" s="2" t="s">
        <v>348</v>
      </c>
      <c r="E333" s="2">
        <v>1</v>
      </c>
      <c r="F333" s="2">
        <v>43645</v>
      </c>
      <c r="G333" s="2" t="s">
        <v>565</v>
      </c>
      <c r="H333" s="2" t="str">
        <f t="shared" si="5"/>
        <v>("ORD-00332","2025-07-16","ELE-LAP-011","CX-110",1,43645,"NetBanking"),</v>
      </c>
      <c r="N333" s="2"/>
      <c r="P333" s="4"/>
    </row>
    <row r="334" spans="1:16" x14ac:dyDescent="0.3">
      <c r="A334" s="2" t="s">
        <v>899</v>
      </c>
      <c r="B334" s="5" t="s">
        <v>1697</v>
      </c>
      <c r="C334" s="2" t="s">
        <v>59</v>
      </c>
      <c r="D334" s="2" t="s">
        <v>335</v>
      </c>
      <c r="E334" s="2">
        <v>3</v>
      </c>
      <c r="F334" s="2">
        <v>93432</v>
      </c>
      <c r="G334" s="2" t="s">
        <v>572</v>
      </c>
      <c r="H334" s="2" t="str">
        <f t="shared" si="5"/>
        <v>("ORD-00333","2025-02-04","FAS-WOM-058","CX-115",3,93432,"Card"),</v>
      </c>
      <c r="N334" s="2"/>
      <c r="P334" s="4"/>
    </row>
    <row r="335" spans="1:16" x14ac:dyDescent="0.3">
      <c r="A335" s="2" t="s">
        <v>900</v>
      </c>
      <c r="B335" s="5" t="s">
        <v>1777</v>
      </c>
      <c r="C335" s="2" t="s">
        <v>65</v>
      </c>
      <c r="D335" s="2" t="s">
        <v>382</v>
      </c>
      <c r="E335" s="2">
        <v>5</v>
      </c>
      <c r="F335" s="2">
        <v>35550</v>
      </c>
      <c r="G335" s="2" t="s">
        <v>567</v>
      </c>
      <c r="H335" s="2" t="str">
        <f t="shared" si="5"/>
        <v>("ORD-00334","2025-04-19","FAS-KID-064","CX-093",5,35550,"Wallet"),</v>
      </c>
      <c r="N335" s="2"/>
      <c r="P335" s="4"/>
    </row>
    <row r="336" spans="1:16" x14ac:dyDescent="0.3">
      <c r="A336" s="2" t="s">
        <v>901</v>
      </c>
      <c r="B336" s="5" t="s">
        <v>1787</v>
      </c>
      <c r="C336" s="2" t="s">
        <v>175</v>
      </c>
      <c r="D336" s="2" t="s">
        <v>439</v>
      </c>
      <c r="E336" s="2">
        <v>1</v>
      </c>
      <c r="F336" s="2">
        <v>45995</v>
      </c>
      <c r="G336" s="2" t="s">
        <v>565</v>
      </c>
      <c r="H336" s="2" t="str">
        <f t="shared" si="5"/>
        <v>("ORD-00335","2025-10-23","BEA-HAI-174","CX-063",1,45995,"NetBanking"),</v>
      </c>
      <c r="N336" s="2"/>
      <c r="P336" s="4"/>
    </row>
    <row r="337" spans="1:16" x14ac:dyDescent="0.3">
      <c r="A337" s="2" t="s">
        <v>902</v>
      </c>
      <c r="B337" s="5" t="s">
        <v>1776</v>
      </c>
      <c r="C337" s="2" t="s">
        <v>178</v>
      </c>
      <c r="D337" s="2" t="s">
        <v>489</v>
      </c>
      <c r="E337" s="2">
        <v>2</v>
      </c>
      <c r="F337" s="2">
        <v>103578</v>
      </c>
      <c r="G337" s="2" t="s">
        <v>565</v>
      </c>
      <c r="H337" s="2" t="str">
        <f t="shared" si="5"/>
        <v>("ORD-00336","2024-12-27","BEA-HAI-177","CX-036",2,103578,"NetBanking"),</v>
      </c>
      <c r="N337" s="2"/>
      <c r="P337" s="4"/>
    </row>
    <row r="338" spans="1:16" x14ac:dyDescent="0.3">
      <c r="A338" s="2" t="s">
        <v>903</v>
      </c>
      <c r="B338" s="5" t="s">
        <v>1788</v>
      </c>
      <c r="C338" s="2" t="s">
        <v>74</v>
      </c>
      <c r="D338" s="2" t="s">
        <v>337</v>
      </c>
      <c r="E338" s="2">
        <v>5</v>
      </c>
      <c r="F338" s="2">
        <v>24955</v>
      </c>
      <c r="G338" s="2" t="s">
        <v>565</v>
      </c>
      <c r="H338" s="2" t="str">
        <f t="shared" si="5"/>
        <v>("ORD-00337","2025-05-21","FAS-FOO-073","CX-114",5,24955,"NetBanking"),</v>
      </c>
      <c r="N338" s="2"/>
      <c r="P338" s="4"/>
    </row>
    <row r="339" spans="1:16" x14ac:dyDescent="0.3">
      <c r="A339" s="2" t="s">
        <v>904</v>
      </c>
      <c r="B339" s="5" t="s">
        <v>1721</v>
      </c>
      <c r="C339" s="2" t="s">
        <v>39</v>
      </c>
      <c r="D339" s="2" t="s">
        <v>503</v>
      </c>
      <c r="E339" s="2">
        <v>3</v>
      </c>
      <c r="F339" s="2">
        <v>97512</v>
      </c>
      <c r="G339" s="2" t="s">
        <v>567</v>
      </c>
      <c r="H339" s="2" t="str">
        <f t="shared" si="5"/>
        <v>("ORD-00338","2025-06-13","ELE-CAM-038","CX-029",3,97512,"Wallet"),</v>
      </c>
      <c r="N339" s="2"/>
      <c r="P339" s="4"/>
    </row>
    <row r="340" spans="1:16" x14ac:dyDescent="0.3">
      <c r="A340" s="2" t="s">
        <v>905</v>
      </c>
      <c r="B340" s="5" t="s">
        <v>1789</v>
      </c>
      <c r="C340" s="2" t="s">
        <v>41</v>
      </c>
      <c r="D340" s="2" t="s">
        <v>427</v>
      </c>
      <c r="E340" s="2">
        <v>5</v>
      </c>
      <c r="F340" s="2">
        <v>6780</v>
      </c>
      <c r="G340" s="2" t="s">
        <v>563</v>
      </c>
      <c r="H340" s="2" t="str">
        <f t="shared" si="5"/>
        <v>("ORD-00339","2024-12-04","ELE-CAM-040","CX-070",5,6780,"Cash"),</v>
      </c>
      <c r="N340" s="2"/>
      <c r="P340" s="4"/>
    </row>
    <row r="341" spans="1:16" x14ac:dyDescent="0.3">
      <c r="A341" s="2" t="s">
        <v>906</v>
      </c>
      <c r="B341" s="5" t="s">
        <v>1790</v>
      </c>
      <c r="C341" s="2" t="s">
        <v>157</v>
      </c>
      <c r="D341" s="2" t="s">
        <v>501</v>
      </c>
      <c r="E341" s="2">
        <v>5</v>
      </c>
      <c r="F341" s="2">
        <v>19330</v>
      </c>
      <c r="G341" s="2" t="s">
        <v>570</v>
      </c>
      <c r="H341" s="2" t="str">
        <f t="shared" si="5"/>
        <v>("ORD-00340","2025-05-12","SPO-ACC-156","CX-030",5,19330,"UPI"),</v>
      </c>
      <c r="N341" s="2"/>
      <c r="P341" s="4"/>
    </row>
    <row r="342" spans="1:16" x14ac:dyDescent="0.3">
      <c r="A342" s="2" t="s">
        <v>907</v>
      </c>
      <c r="B342" s="5" t="s">
        <v>1791</v>
      </c>
      <c r="C342" s="2" t="s">
        <v>2</v>
      </c>
      <c r="D342" s="2" t="s">
        <v>493</v>
      </c>
      <c r="E342" s="2">
        <v>4</v>
      </c>
      <c r="F342" s="2">
        <v>98892</v>
      </c>
      <c r="G342" s="2" t="s">
        <v>565</v>
      </c>
      <c r="H342" s="2" t="str">
        <f t="shared" si="5"/>
        <v>("ORD-00341","2025-02-10","ELE-MOB-001","CX-034",4,98892,"NetBanking"),</v>
      </c>
      <c r="N342" s="2"/>
      <c r="P342" s="4"/>
    </row>
    <row r="343" spans="1:16" x14ac:dyDescent="0.3">
      <c r="A343" s="2" t="s">
        <v>908</v>
      </c>
      <c r="B343" s="5" t="s">
        <v>1792</v>
      </c>
      <c r="C343" s="2" t="s">
        <v>111</v>
      </c>
      <c r="D343" s="2" t="s">
        <v>324</v>
      </c>
      <c r="E343" s="2">
        <v>3</v>
      </c>
      <c r="F343" s="2">
        <v>54555</v>
      </c>
      <c r="G343" s="2" t="s">
        <v>567</v>
      </c>
      <c r="H343" s="2" t="str">
        <f t="shared" si="5"/>
        <v>("ORD-00342","2025-06-20","HOM-APP-110","CX-118",3,54555,"Wallet"),</v>
      </c>
      <c r="N343" s="2"/>
      <c r="P343" s="4"/>
    </row>
    <row r="344" spans="1:16" x14ac:dyDescent="0.3">
      <c r="A344" s="2" t="s">
        <v>909</v>
      </c>
      <c r="B344" s="5" t="s">
        <v>1764</v>
      </c>
      <c r="C344" s="2" t="s">
        <v>112</v>
      </c>
      <c r="D344" s="2" t="s">
        <v>452</v>
      </c>
      <c r="E344" s="2">
        <v>4</v>
      </c>
      <c r="F344" s="2">
        <v>223600</v>
      </c>
      <c r="G344" s="2" t="s">
        <v>570</v>
      </c>
      <c r="H344" s="2" t="str">
        <f t="shared" si="5"/>
        <v>("ORD-00343","2025-07-09","HOM-FUR-111","CX-056",4,223600,"UPI"),</v>
      </c>
      <c r="N344" s="2"/>
      <c r="P344" s="4"/>
    </row>
    <row r="345" spans="1:16" x14ac:dyDescent="0.3">
      <c r="A345" s="2" t="s">
        <v>910</v>
      </c>
      <c r="B345" s="5" t="s">
        <v>1709</v>
      </c>
      <c r="C345" s="2" t="s">
        <v>128</v>
      </c>
      <c r="D345" s="2" t="s">
        <v>366</v>
      </c>
      <c r="E345" s="2">
        <v>5</v>
      </c>
      <c r="F345" s="2">
        <v>1035</v>
      </c>
      <c r="G345" s="2" t="s">
        <v>567</v>
      </c>
      <c r="H345" s="2" t="str">
        <f t="shared" si="5"/>
        <v>("ORD-00344","2025-01-24","SPO-FIT-127","CX-101",5,1035,"Wallet"),</v>
      </c>
      <c r="N345" s="2"/>
      <c r="P345" s="4"/>
    </row>
    <row r="346" spans="1:16" x14ac:dyDescent="0.3">
      <c r="A346" s="2" t="s">
        <v>911</v>
      </c>
      <c r="B346" s="5" t="s">
        <v>1650</v>
      </c>
      <c r="C346" s="2" t="s">
        <v>104</v>
      </c>
      <c r="D346" s="2" t="s">
        <v>462</v>
      </c>
      <c r="E346" s="2">
        <v>5</v>
      </c>
      <c r="F346" s="2">
        <v>181655</v>
      </c>
      <c r="G346" s="2" t="s">
        <v>563</v>
      </c>
      <c r="H346" s="2" t="str">
        <f t="shared" si="5"/>
        <v>("ORD-00345","2025-03-03","HOM-APP-103","CX-051",5,181655,"Cash"),</v>
      </c>
      <c r="N346" s="2"/>
      <c r="P346" s="4"/>
    </row>
    <row r="347" spans="1:16" x14ac:dyDescent="0.3">
      <c r="A347" s="2" t="s">
        <v>912</v>
      </c>
      <c r="B347" s="5" t="s">
        <v>1654</v>
      </c>
      <c r="C347" s="2" t="s">
        <v>46</v>
      </c>
      <c r="D347" s="2" t="s">
        <v>360</v>
      </c>
      <c r="E347" s="2">
        <v>3</v>
      </c>
      <c r="F347" s="2">
        <v>29259</v>
      </c>
      <c r="G347" s="2" t="s">
        <v>567</v>
      </c>
      <c r="H347" s="2" t="str">
        <f t="shared" si="5"/>
        <v>("ORD-00346","2025-06-15","FAS-MEN-045","CX-104",3,29259,"Wallet"),</v>
      </c>
      <c r="N347" s="2"/>
      <c r="P347" s="4"/>
    </row>
    <row r="348" spans="1:16" x14ac:dyDescent="0.3">
      <c r="A348" s="2" t="s">
        <v>913</v>
      </c>
      <c r="B348" s="5" t="s">
        <v>1770</v>
      </c>
      <c r="C348" s="2" t="s">
        <v>152</v>
      </c>
      <c r="D348" s="2" t="s">
        <v>481</v>
      </c>
      <c r="E348" s="2">
        <v>5</v>
      </c>
      <c r="F348" s="2">
        <v>233705</v>
      </c>
      <c r="G348" s="2" t="s">
        <v>565</v>
      </c>
      <c r="H348" s="2" t="str">
        <f t="shared" si="5"/>
        <v>("ORD-00347","2025-05-10","SPO-ACC-151","CX-041",5,233705,"NetBanking"),</v>
      </c>
      <c r="N348" s="2"/>
      <c r="P348" s="4"/>
    </row>
    <row r="349" spans="1:16" x14ac:dyDescent="0.3">
      <c r="A349" s="2" t="s">
        <v>914</v>
      </c>
      <c r="B349" s="5" t="s">
        <v>1676</v>
      </c>
      <c r="C349" s="2" t="s">
        <v>197</v>
      </c>
      <c r="D349" s="2" t="s">
        <v>437</v>
      </c>
      <c r="E349" s="2">
        <v>2</v>
      </c>
      <c r="F349" s="2">
        <v>103946</v>
      </c>
      <c r="G349" s="2" t="s">
        <v>565</v>
      </c>
      <c r="H349" s="2" t="str">
        <f t="shared" si="5"/>
        <v>("ORD-00348","2025-03-29","BEA-FRA-196","CX-064",2,103946,"NetBanking"),</v>
      </c>
      <c r="N349" s="2"/>
      <c r="P349" s="4"/>
    </row>
    <row r="350" spans="1:16" x14ac:dyDescent="0.3">
      <c r="A350" s="2" t="s">
        <v>915</v>
      </c>
      <c r="B350" s="5" t="s">
        <v>1793</v>
      </c>
      <c r="C350" s="2" t="s">
        <v>171</v>
      </c>
      <c r="D350" s="2" t="s">
        <v>537</v>
      </c>
      <c r="E350" s="2">
        <v>1</v>
      </c>
      <c r="F350" s="2">
        <v>20857</v>
      </c>
      <c r="G350" s="2" t="s">
        <v>563</v>
      </c>
      <c r="H350" s="2" t="str">
        <f t="shared" si="5"/>
        <v>("ORD-00349","2025-09-06","BEA-SKI-170","CX-011",1,20857,"Cash"),</v>
      </c>
      <c r="N350" s="2"/>
      <c r="P350" s="4"/>
    </row>
    <row r="351" spans="1:16" x14ac:dyDescent="0.3">
      <c r="A351" s="2" t="s">
        <v>916</v>
      </c>
      <c r="B351" s="5" t="s">
        <v>1702</v>
      </c>
      <c r="C351" s="2" t="s">
        <v>38</v>
      </c>
      <c r="D351" s="2" t="s">
        <v>427</v>
      </c>
      <c r="E351" s="2">
        <v>5</v>
      </c>
      <c r="F351" s="2">
        <v>55810</v>
      </c>
      <c r="G351" s="2" t="s">
        <v>563</v>
      </c>
      <c r="H351" s="2" t="str">
        <f t="shared" si="5"/>
        <v>("ORD-00350","2025-04-08","ELE-CAM-037","CX-070",5,55810,"Cash"),</v>
      </c>
      <c r="N351" s="2"/>
      <c r="P351" s="4"/>
    </row>
    <row r="352" spans="1:16" x14ac:dyDescent="0.3">
      <c r="A352" s="2" t="s">
        <v>917</v>
      </c>
      <c r="B352" s="5" t="s">
        <v>1794</v>
      </c>
      <c r="C352" s="2" t="s">
        <v>59</v>
      </c>
      <c r="D352" s="2" t="s">
        <v>555</v>
      </c>
      <c r="E352" s="2">
        <v>5</v>
      </c>
      <c r="F352" s="2">
        <v>155720</v>
      </c>
      <c r="G352" s="2" t="s">
        <v>565</v>
      </c>
      <c r="H352" s="2" t="str">
        <f t="shared" si="5"/>
        <v>("ORD-00351","2025-01-29","FAS-WOM-058","CX-001",5,155720,"NetBanking"),</v>
      </c>
      <c r="N352" s="2"/>
      <c r="P352" s="4"/>
    </row>
    <row r="353" spans="1:16" x14ac:dyDescent="0.3">
      <c r="A353" s="2" t="s">
        <v>918</v>
      </c>
      <c r="B353" s="5" t="s">
        <v>1654</v>
      </c>
      <c r="C353" s="2" t="s">
        <v>59</v>
      </c>
      <c r="D353" s="2" t="s">
        <v>547</v>
      </c>
      <c r="E353" s="2">
        <v>5</v>
      </c>
      <c r="F353" s="2">
        <v>155720</v>
      </c>
      <c r="G353" s="2" t="s">
        <v>572</v>
      </c>
      <c r="H353" s="2" t="str">
        <f t="shared" si="5"/>
        <v>("ORD-00352","2025-06-15","FAS-WOM-058","CX-005",5,155720,"Card"),</v>
      </c>
      <c r="N353" s="2"/>
      <c r="P353" s="4"/>
    </row>
    <row r="354" spans="1:16" x14ac:dyDescent="0.3">
      <c r="A354" s="2" t="s">
        <v>919</v>
      </c>
      <c r="B354" s="5" t="s">
        <v>1580</v>
      </c>
      <c r="C354" s="2" t="s">
        <v>23</v>
      </c>
      <c r="D354" s="2" t="s">
        <v>422</v>
      </c>
      <c r="E354" s="2">
        <v>2</v>
      </c>
      <c r="F354" s="2">
        <v>39386</v>
      </c>
      <c r="G354" s="2" t="s">
        <v>567</v>
      </c>
      <c r="H354" s="2" t="str">
        <f t="shared" si="5"/>
        <v>("ORD-00353","2025-11-19","ELE-ACC-022","CX-073",2,39386,"Wallet"),</v>
      </c>
      <c r="N354" s="2"/>
      <c r="P354" s="4"/>
    </row>
    <row r="355" spans="1:16" x14ac:dyDescent="0.3">
      <c r="A355" s="2" t="s">
        <v>920</v>
      </c>
      <c r="B355" s="5" t="s">
        <v>1743</v>
      </c>
      <c r="C355" s="2" t="s">
        <v>183</v>
      </c>
      <c r="D355" s="2" t="s">
        <v>437</v>
      </c>
      <c r="E355" s="2">
        <v>5</v>
      </c>
      <c r="F355" s="2">
        <v>188695</v>
      </c>
      <c r="G355" s="2" t="s">
        <v>570</v>
      </c>
      <c r="H355" s="2" t="str">
        <f t="shared" si="5"/>
        <v>("ORD-00354","2025-06-10","BEA-MAK-182","CX-064",5,188695,"UPI"),</v>
      </c>
      <c r="N355" s="2"/>
      <c r="P355" s="4"/>
    </row>
    <row r="356" spans="1:16" x14ac:dyDescent="0.3">
      <c r="A356" s="2" t="s">
        <v>921</v>
      </c>
      <c r="B356" s="5" t="s">
        <v>1795</v>
      </c>
      <c r="C356" s="2" t="s">
        <v>151</v>
      </c>
      <c r="D356" s="2" t="s">
        <v>520</v>
      </c>
      <c r="E356" s="2">
        <v>1</v>
      </c>
      <c r="F356" s="2">
        <v>29612</v>
      </c>
      <c r="G356" s="2" t="s">
        <v>565</v>
      </c>
      <c r="H356" s="2" t="str">
        <f t="shared" si="5"/>
        <v>("ORD-00355","2024-12-02","SPO-IND-150","CX-020",1,29612,"NetBanking"),</v>
      </c>
      <c r="N356" s="2"/>
      <c r="P356" s="4"/>
    </row>
    <row r="357" spans="1:16" x14ac:dyDescent="0.3">
      <c r="A357" s="2" t="s">
        <v>922</v>
      </c>
      <c r="B357" s="5" t="s">
        <v>1796</v>
      </c>
      <c r="C357" s="2" t="s">
        <v>12</v>
      </c>
      <c r="D357" s="2" t="s">
        <v>491</v>
      </c>
      <c r="E357" s="2">
        <v>2</v>
      </c>
      <c r="F357" s="2">
        <v>87290</v>
      </c>
      <c r="G357" s="2" t="s">
        <v>563</v>
      </c>
      <c r="H357" s="2" t="str">
        <f t="shared" si="5"/>
        <v>("ORD-00356","2025-11-17","ELE-LAP-011","CX-035",2,87290,"Cash"),</v>
      </c>
      <c r="N357" s="2"/>
      <c r="P357" s="4"/>
    </row>
    <row r="358" spans="1:16" x14ac:dyDescent="0.3">
      <c r="A358" s="2" t="s">
        <v>923</v>
      </c>
      <c r="B358" s="5" t="s">
        <v>1797</v>
      </c>
      <c r="C358" s="2" t="s">
        <v>147</v>
      </c>
      <c r="D358" s="2" t="s">
        <v>408</v>
      </c>
      <c r="E358" s="2">
        <v>5</v>
      </c>
      <c r="F358" s="2">
        <v>188005</v>
      </c>
      <c r="G358" s="2" t="s">
        <v>572</v>
      </c>
      <c r="H358" s="2" t="str">
        <f t="shared" si="5"/>
        <v>("ORD-00357","2025-06-30","SPO-IND-146","CX-080",5,188005,"Card"),</v>
      </c>
      <c r="N358" s="2"/>
      <c r="P358" s="4"/>
    </row>
    <row r="359" spans="1:16" x14ac:dyDescent="0.3">
      <c r="A359" s="2" t="s">
        <v>924</v>
      </c>
      <c r="B359" s="5" t="s">
        <v>1688</v>
      </c>
      <c r="C359" s="2" t="s">
        <v>74</v>
      </c>
      <c r="D359" s="2" t="s">
        <v>447</v>
      </c>
      <c r="E359" s="2">
        <v>4</v>
      </c>
      <c r="F359" s="2">
        <v>19964</v>
      </c>
      <c r="G359" s="2" t="s">
        <v>572</v>
      </c>
      <c r="H359" s="2" t="str">
        <f t="shared" si="5"/>
        <v>("ORD-00358","2025-10-19","FAS-FOO-073","CX-059",4,19964,"Card"),</v>
      </c>
      <c r="N359" s="2"/>
      <c r="P359" s="4"/>
    </row>
    <row r="360" spans="1:16" x14ac:dyDescent="0.3">
      <c r="A360" s="2" t="s">
        <v>925</v>
      </c>
      <c r="B360" s="5" t="s">
        <v>1598</v>
      </c>
      <c r="C360" s="2" t="s">
        <v>168</v>
      </c>
      <c r="D360" s="2" t="s">
        <v>348</v>
      </c>
      <c r="E360" s="2">
        <v>3</v>
      </c>
      <c r="F360" s="2">
        <v>171561</v>
      </c>
      <c r="G360" s="2" t="s">
        <v>570</v>
      </c>
      <c r="H360" s="2" t="str">
        <f t="shared" si="5"/>
        <v>("ORD-00359","2025-01-27","BEA-SKI-167","CX-110",3,171561,"UPI"),</v>
      </c>
      <c r="N360" s="2"/>
      <c r="P360" s="4"/>
    </row>
    <row r="361" spans="1:16" x14ac:dyDescent="0.3">
      <c r="A361" s="2" t="s">
        <v>926</v>
      </c>
      <c r="B361" s="5" t="s">
        <v>1608</v>
      </c>
      <c r="C361" s="2" t="s">
        <v>178</v>
      </c>
      <c r="D361" s="2" t="s">
        <v>335</v>
      </c>
      <c r="E361" s="2">
        <v>5</v>
      </c>
      <c r="F361" s="2">
        <v>258945</v>
      </c>
      <c r="G361" s="2" t="s">
        <v>570</v>
      </c>
      <c r="H361" s="2" t="str">
        <f t="shared" si="5"/>
        <v>("ORD-00360","2025-10-28","BEA-HAI-177","CX-115",5,258945,"UPI"),</v>
      </c>
      <c r="N361" s="2"/>
      <c r="P361" s="4"/>
    </row>
    <row r="362" spans="1:16" x14ac:dyDescent="0.3">
      <c r="A362" s="2" t="s">
        <v>927</v>
      </c>
      <c r="B362" s="5" t="s">
        <v>1798</v>
      </c>
      <c r="C362" s="2" t="s">
        <v>166</v>
      </c>
      <c r="D362" s="2" t="s">
        <v>393</v>
      </c>
      <c r="E362" s="2">
        <v>3</v>
      </c>
      <c r="F362" s="2">
        <v>118926</v>
      </c>
      <c r="G362" s="2" t="s">
        <v>572</v>
      </c>
      <c r="H362" s="2" t="str">
        <f t="shared" si="5"/>
        <v>("ORD-00361","2025-01-10","BEA-SKI-165","CX-088",3,118926,"Card"),</v>
      </c>
      <c r="N362" s="2"/>
      <c r="P362" s="4"/>
    </row>
    <row r="363" spans="1:16" x14ac:dyDescent="0.3">
      <c r="A363" s="2" t="s">
        <v>928</v>
      </c>
      <c r="B363" s="5" t="s">
        <v>1671</v>
      </c>
      <c r="C363" s="2" t="s">
        <v>111</v>
      </c>
      <c r="D363" s="2" t="s">
        <v>467</v>
      </c>
      <c r="E363" s="2">
        <v>4</v>
      </c>
      <c r="F363" s="2">
        <v>72740</v>
      </c>
      <c r="G363" s="2" t="s">
        <v>563</v>
      </c>
      <c r="H363" s="2" t="str">
        <f t="shared" si="5"/>
        <v>("ORD-00362","2025-10-24","HOM-APP-110","CX-048",4,72740,"Cash"),</v>
      </c>
      <c r="N363" s="2"/>
      <c r="P363" s="4"/>
    </row>
    <row r="364" spans="1:16" x14ac:dyDescent="0.3">
      <c r="A364" s="2" t="s">
        <v>929</v>
      </c>
      <c r="B364" s="5" t="s">
        <v>1581</v>
      </c>
      <c r="C364" s="2" t="s">
        <v>56</v>
      </c>
      <c r="D364" s="2" t="s">
        <v>464</v>
      </c>
      <c r="E364" s="2">
        <v>5</v>
      </c>
      <c r="F364" s="2">
        <v>68675</v>
      </c>
      <c r="G364" s="2" t="s">
        <v>565</v>
      </c>
      <c r="H364" s="2" t="str">
        <f t="shared" si="5"/>
        <v>("ORD-00363","2025-07-28","FAS-WOM-055","CX-050",5,68675,"NetBanking"),</v>
      </c>
      <c r="N364" s="2"/>
      <c r="P364" s="4"/>
    </row>
    <row r="365" spans="1:16" x14ac:dyDescent="0.3">
      <c r="A365" s="2" t="s">
        <v>930</v>
      </c>
      <c r="B365" s="5" t="s">
        <v>1799</v>
      </c>
      <c r="C365" s="2" t="s">
        <v>167</v>
      </c>
      <c r="D365" s="2" t="s">
        <v>433</v>
      </c>
      <c r="E365" s="2">
        <v>4</v>
      </c>
      <c r="F365" s="2">
        <v>135588</v>
      </c>
      <c r="G365" s="2" t="s">
        <v>565</v>
      </c>
      <c r="H365" s="2" t="str">
        <f t="shared" si="5"/>
        <v>("ORD-00364","2025-07-18","BEA-SKI-166","CX-067",4,135588,"NetBanking"),</v>
      </c>
      <c r="N365" s="2"/>
      <c r="P365" s="4"/>
    </row>
    <row r="366" spans="1:16" x14ac:dyDescent="0.3">
      <c r="A366" s="2" t="s">
        <v>931</v>
      </c>
      <c r="B366" s="5" t="s">
        <v>1711</v>
      </c>
      <c r="C366" s="2" t="s">
        <v>97</v>
      </c>
      <c r="D366" s="2" t="s">
        <v>431</v>
      </c>
      <c r="E366" s="2">
        <v>5</v>
      </c>
      <c r="F366" s="2">
        <v>54435</v>
      </c>
      <c r="G366" s="2" t="s">
        <v>563</v>
      </c>
      <c r="H366" s="2" t="str">
        <f t="shared" si="5"/>
        <v>("ORD-00365","2025-11-14","HOM-DEC-096","CX-068",5,54435,"Cash"),</v>
      </c>
      <c r="N366" s="2"/>
      <c r="P366" s="4"/>
    </row>
    <row r="367" spans="1:16" x14ac:dyDescent="0.3">
      <c r="A367" s="2" t="s">
        <v>932</v>
      </c>
      <c r="B367" s="5" t="s">
        <v>1800</v>
      </c>
      <c r="C367" s="2" t="s">
        <v>116</v>
      </c>
      <c r="D367" s="2" t="s">
        <v>358</v>
      </c>
      <c r="E367" s="2">
        <v>5</v>
      </c>
      <c r="F367" s="2">
        <v>259060</v>
      </c>
      <c r="G367" s="2" t="s">
        <v>572</v>
      </c>
      <c r="H367" s="2" t="str">
        <f t="shared" si="5"/>
        <v>("ORD-00366","2025-05-18","HOM-FUR-115","CX-105",5,259060,"Card"),</v>
      </c>
      <c r="N367" s="2"/>
      <c r="P367" s="4"/>
    </row>
    <row r="368" spans="1:16" x14ac:dyDescent="0.3">
      <c r="A368" s="2" t="s">
        <v>933</v>
      </c>
      <c r="B368" s="5" t="s">
        <v>1801</v>
      </c>
      <c r="C368" s="2" t="s">
        <v>167</v>
      </c>
      <c r="D368" s="2" t="s">
        <v>483</v>
      </c>
      <c r="E368" s="2">
        <v>5</v>
      </c>
      <c r="F368" s="2">
        <v>169485</v>
      </c>
      <c r="G368" s="2" t="s">
        <v>572</v>
      </c>
      <c r="H368" s="2" t="str">
        <f t="shared" si="5"/>
        <v>("ORD-00367","2025-03-30","BEA-SKI-166","CX-040",5,169485,"Card"),</v>
      </c>
      <c r="N368" s="2"/>
      <c r="P368" s="4"/>
    </row>
    <row r="369" spans="1:16" x14ac:dyDescent="0.3">
      <c r="A369" s="2" t="s">
        <v>934</v>
      </c>
      <c r="B369" s="5" t="s">
        <v>1802</v>
      </c>
      <c r="C369" s="2" t="s">
        <v>60</v>
      </c>
      <c r="D369" s="2" t="s">
        <v>339</v>
      </c>
      <c r="E369" s="2">
        <v>3</v>
      </c>
      <c r="F369" s="2">
        <v>103587</v>
      </c>
      <c r="G369" s="2" t="s">
        <v>563</v>
      </c>
      <c r="H369" s="2" t="str">
        <f t="shared" si="5"/>
        <v>("ORD-00368","2025-01-07","FAS-WOM-059","CX-113",3,103587,"Cash"),</v>
      </c>
      <c r="N369" s="2"/>
      <c r="P369" s="4"/>
    </row>
    <row r="370" spans="1:16" x14ac:dyDescent="0.3">
      <c r="A370" s="2" t="s">
        <v>935</v>
      </c>
      <c r="B370" s="5" t="s">
        <v>1802</v>
      </c>
      <c r="C370" s="2" t="s">
        <v>22</v>
      </c>
      <c r="D370" s="2" t="s">
        <v>479</v>
      </c>
      <c r="E370" s="2">
        <v>5</v>
      </c>
      <c r="F370" s="2">
        <v>204860</v>
      </c>
      <c r="G370" s="2" t="s">
        <v>563</v>
      </c>
      <c r="H370" s="2" t="str">
        <f t="shared" si="5"/>
        <v>("ORD-00369","2025-01-07","ELE-ACC-021","CX-042",5,204860,"Cash"),</v>
      </c>
      <c r="N370" s="2"/>
      <c r="P370" s="4"/>
    </row>
    <row r="371" spans="1:16" x14ac:dyDescent="0.3">
      <c r="A371" s="2" t="s">
        <v>936</v>
      </c>
      <c r="B371" s="5" t="s">
        <v>1803</v>
      </c>
      <c r="C371" s="2" t="s">
        <v>109</v>
      </c>
      <c r="D371" s="2" t="s">
        <v>399</v>
      </c>
      <c r="E371" s="2">
        <v>3</v>
      </c>
      <c r="F371" s="2">
        <v>56886</v>
      </c>
      <c r="G371" s="2" t="s">
        <v>570</v>
      </c>
      <c r="H371" s="2" t="str">
        <f t="shared" si="5"/>
        <v>("ORD-00370","2025-02-16","HOM-APP-108","CX-085",3,56886,"UPI"),</v>
      </c>
      <c r="N371" s="2"/>
      <c r="P371" s="4"/>
    </row>
    <row r="372" spans="1:16" x14ac:dyDescent="0.3">
      <c r="A372" s="2" t="s">
        <v>937</v>
      </c>
      <c r="B372" s="5" t="s">
        <v>1642</v>
      </c>
      <c r="C372" s="2" t="s">
        <v>157</v>
      </c>
      <c r="D372" s="2" t="s">
        <v>420</v>
      </c>
      <c r="E372" s="2">
        <v>4</v>
      </c>
      <c r="F372" s="2">
        <v>15464</v>
      </c>
      <c r="G372" s="2" t="s">
        <v>572</v>
      </c>
      <c r="H372" s="2" t="str">
        <f t="shared" si="5"/>
        <v>("ORD-00371","2024-12-28","SPO-ACC-156","CX-074",4,15464,"Card"),</v>
      </c>
      <c r="N372" s="2"/>
      <c r="P372" s="4"/>
    </row>
    <row r="373" spans="1:16" x14ac:dyDescent="0.3">
      <c r="A373" s="2" t="s">
        <v>938</v>
      </c>
      <c r="B373" s="5" t="s">
        <v>1621</v>
      </c>
      <c r="C373" s="2" t="s">
        <v>112</v>
      </c>
      <c r="D373" s="2" t="s">
        <v>374</v>
      </c>
      <c r="E373" s="2">
        <v>1</v>
      </c>
      <c r="F373" s="2">
        <v>55900</v>
      </c>
      <c r="G373" s="2" t="s">
        <v>563</v>
      </c>
      <c r="H373" s="2" t="str">
        <f t="shared" si="5"/>
        <v>("ORD-00372","2025-04-22","HOM-FUR-111","CX-097",1,55900,"Cash"),</v>
      </c>
      <c r="N373" s="2"/>
      <c r="P373" s="4"/>
    </row>
    <row r="374" spans="1:16" x14ac:dyDescent="0.3">
      <c r="A374" s="2" t="s">
        <v>939</v>
      </c>
      <c r="B374" s="5" t="s">
        <v>1804</v>
      </c>
      <c r="C374" s="2" t="s">
        <v>194</v>
      </c>
      <c r="D374" s="2" t="s">
        <v>527</v>
      </c>
      <c r="E374" s="2">
        <v>2</v>
      </c>
      <c r="F374" s="2">
        <v>59244</v>
      </c>
      <c r="G374" s="2" t="s">
        <v>567</v>
      </c>
      <c r="H374" s="2" t="str">
        <f t="shared" si="5"/>
        <v>("ORD-00373","2025-06-02","BEA-FRA-193","CX-016",2,59244,"Wallet"),</v>
      </c>
      <c r="N374" s="2"/>
      <c r="P374" s="4"/>
    </row>
    <row r="375" spans="1:16" x14ac:dyDescent="0.3">
      <c r="A375" s="2" t="s">
        <v>940</v>
      </c>
      <c r="B375" s="5" t="s">
        <v>1632</v>
      </c>
      <c r="C375" s="2" t="s">
        <v>166</v>
      </c>
      <c r="D375" s="2" t="s">
        <v>422</v>
      </c>
      <c r="E375" s="2">
        <v>2</v>
      </c>
      <c r="F375" s="2">
        <v>79284</v>
      </c>
      <c r="G375" s="2" t="s">
        <v>570</v>
      </c>
      <c r="H375" s="2" t="str">
        <f t="shared" si="5"/>
        <v>("ORD-00374","2025-06-01","BEA-SKI-165","CX-073",2,79284,"UPI"),</v>
      </c>
      <c r="N375" s="2"/>
      <c r="P375" s="4"/>
    </row>
    <row r="376" spans="1:16" x14ac:dyDescent="0.3">
      <c r="A376" s="2" t="s">
        <v>941</v>
      </c>
      <c r="B376" s="5" t="s">
        <v>1805</v>
      </c>
      <c r="C376" s="2" t="s">
        <v>181</v>
      </c>
      <c r="D376" s="2" t="s">
        <v>467</v>
      </c>
      <c r="E376" s="2">
        <v>3</v>
      </c>
      <c r="F376" s="2">
        <v>61656</v>
      </c>
      <c r="G376" s="2" t="s">
        <v>570</v>
      </c>
      <c r="H376" s="2" t="str">
        <f t="shared" si="5"/>
        <v>("ORD-00375","2025-07-22","BEA-HAI-180","CX-048",3,61656,"UPI"),</v>
      </c>
      <c r="N376" s="2"/>
      <c r="P376" s="4"/>
    </row>
    <row r="377" spans="1:16" x14ac:dyDescent="0.3">
      <c r="A377" s="2" t="s">
        <v>942</v>
      </c>
      <c r="B377" s="5" t="s">
        <v>1715</v>
      </c>
      <c r="C377" s="2" t="s">
        <v>35</v>
      </c>
      <c r="D377" s="2" t="s">
        <v>495</v>
      </c>
      <c r="E377" s="2">
        <v>2</v>
      </c>
      <c r="F377" s="2">
        <v>118558</v>
      </c>
      <c r="G377" s="2" t="s">
        <v>572</v>
      </c>
      <c r="H377" s="2" t="str">
        <f t="shared" si="5"/>
        <v>("ORD-00376","2025-08-27","ELE-CAM-034","CX-033",2,118558,"Card"),</v>
      </c>
      <c r="N377" s="2"/>
      <c r="P377" s="4"/>
    </row>
    <row r="378" spans="1:16" x14ac:dyDescent="0.3">
      <c r="A378" s="2" t="s">
        <v>943</v>
      </c>
      <c r="B378" s="5" t="s">
        <v>1652</v>
      </c>
      <c r="C378" s="2" t="s">
        <v>73</v>
      </c>
      <c r="D378" s="2" t="s">
        <v>447</v>
      </c>
      <c r="E378" s="2">
        <v>5</v>
      </c>
      <c r="F378" s="2">
        <v>36455</v>
      </c>
      <c r="G378" s="2" t="s">
        <v>570</v>
      </c>
      <c r="H378" s="2" t="str">
        <f t="shared" si="5"/>
        <v>("ORD-00377","2025-08-31","FAS-FOO-072","CX-059",5,36455,"UPI"),</v>
      </c>
      <c r="N378" s="2"/>
      <c r="P378" s="4"/>
    </row>
    <row r="379" spans="1:16" x14ac:dyDescent="0.3">
      <c r="A379" s="2" t="s">
        <v>944</v>
      </c>
      <c r="B379" s="5" t="s">
        <v>1590</v>
      </c>
      <c r="C379" s="2" t="s">
        <v>61</v>
      </c>
      <c r="D379" s="2" t="s">
        <v>342</v>
      </c>
      <c r="E379" s="2">
        <v>5</v>
      </c>
      <c r="F379" s="2">
        <v>254400</v>
      </c>
      <c r="G379" s="2" t="s">
        <v>563</v>
      </c>
      <c r="H379" s="2" t="str">
        <f t="shared" si="5"/>
        <v>("ORD-00378","2025-02-12","FAS-WOM-060","CX-112",5,254400,"Cash"),</v>
      </c>
      <c r="N379" s="2"/>
      <c r="P379" s="4"/>
    </row>
    <row r="380" spans="1:16" x14ac:dyDescent="0.3">
      <c r="A380" s="2" t="s">
        <v>945</v>
      </c>
      <c r="B380" s="5" t="s">
        <v>1806</v>
      </c>
      <c r="C380" s="2" t="s">
        <v>190</v>
      </c>
      <c r="D380" s="2" t="s">
        <v>420</v>
      </c>
      <c r="E380" s="2">
        <v>1</v>
      </c>
      <c r="F380" s="2">
        <v>7893</v>
      </c>
      <c r="G380" s="2" t="s">
        <v>563</v>
      </c>
      <c r="H380" s="2" t="str">
        <f t="shared" si="5"/>
        <v>("ORD-00379","2024-12-11","BEA-MAK-189","CX-074",1,7893,"Cash"),</v>
      </c>
      <c r="N380" s="2"/>
      <c r="P380" s="4"/>
    </row>
    <row r="381" spans="1:16" x14ac:dyDescent="0.3">
      <c r="A381" s="2" t="s">
        <v>946</v>
      </c>
      <c r="B381" s="5" t="s">
        <v>1600</v>
      </c>
      <c r="C381" s="2" t="s">
        <v>90</v>
      </c>
      <c r="D381" s="2" t="s">
        <v>513</v>
      </c>
      <c r="E381" s="2">
        <v>4</v>
      </c>
      <c r="F381" s="2">
        <v>220284</v>
      </c>
      <c r="G381" s="2" t="s">
        <v>563</v>
      </c>
      <c r="H381" s="2" t="str">
        <f t="shared" si="5"/>
        <v>("ORD-00380","2025-03-10","HOM-KIT-089","CX-024",4,220284,"Cash"),</v>
      </c>
      <c r="N381" s="2"/>
      <c r="P381" s="4"/>
    </row>
    <row r="382" spans="1:16" x14ac:dyDescent="0.3">
      <c r="A382" s="2" t="s">
        <v>947</v>
      </c>
      <c r="B382" s="5" t="s">
        <v>1678</v>
      </c>
      <c r="C382" s="2" t="s">
        <v>81</v>
      </c>
      <c r="D382" s="2" t="s">
        <v>324</v>
      </c>
      <c r="E382" s="2">
        <v>1</v>
      </c>
      <c r="F382" s="2">
        <v>3069</v>
      </c>
      <c r="G382" s="2" t="s">
        <v>565</v>
      </c>
      <c r="H382" s="2" t="str">
        <f t="shared" si="5"/>
        <v>("ORD-00381","2025-10-14","FAS-FOO-080","CX-118",1,3069,"NetBanking"),</v>
      </c>
      <c r="N382" s="2"/>
      <c r="P382" s="4"/>
    </row>
    <row r="383" spans="1:16" x14ac:dyDescent="0.3">
      <c r="A383" s="2" t="s">
        <v>948</v>
      </c>
      <c r="B383" s="5" t="s">
        <v>1691</v>
      </c>
      <c r="C383" s="2" t="s">
        <v>58</v>
      </c>
      <c r="D383" s="2" t="s">
        <v>537</v>
      </c>
      <c r="E383" s="2">
        <v>1</v>
      </c>
      <c r="F383" s="2">
        <v>40332</v>
      </c>
      <c r="G383" s="2" t="s">
        <v>565</v>
      </c>
      <c r="H383" s="2" t="str">
        <f t="shared" si="5"/>
        <v>("ORD-00382","2025-06-05","FAS-WOM-057","CX-011",1,40332,"NetBanking"),</v>
      </c>
      <c r="N383" s="2"/>
      <c r="P383" s="4"/>
    </row>
    <row r="384" spans="1:16" x14ac:dyDescent="0.3">
      <c r="A384" s="2" t="s">
        <v>949</v>
      </c>
      <c r="B384" s="5" t="s">
        <v>1807</v>
      </c>
      <c r="C384" s="2" t="s">
        <v>108</v>
      </c>
      <c r="D384" s="2" t="s">
        <v>374</v>
      </c>
      <c r="E384" s="2">
        <v>5</v>
      </c>
      <c r="F384" s="2">
        <v>216370</v>
      </c>
      <c r="G384" s="2" t="s">
        <v>570</v>
      </c>
      <c r="H384" s="2" t="str">
        <f t="shared" si="5"/>
        <v>("ORD-00383","2025-09-09","HOM-APP-107","CX-097",5,216370,"UPI"),</v>
      </c>
      <c r="N384" s="2"/>
      <c r="P384" s="4"/>
    </row>
    <row r="385" spans="1:16" x14ac:dyDescent="0.3">
      <c r="A385" s="2" t="s">
        <v>950</v>
      </c>
      <c r="B385" s="5" t="s">
        <v>1691</v>
      </c>
      <c r="C385" s="2" t="s">
        <v>184</v>
      </c>
      <c r="D385" s="2" t="s">
        <v>372</v>
      </c>
      <c r="E385" s="2">
        <v>1</v>
      </c>
      <c r="F385" s="2">
        <v>6084</v>
      </c>
      <c r="G385" s="2" t="s">
        <v>572</v>
      </c>
      <c r="H385" s="2" t="str">
        <f t="shared" si="5"/>
        <v>("ORD-00384","2025-06-05","BEA-MAK-183","CX-098",1,6084,"Card"),</v>
      </c>
      <c r="N385" s="2"/>
      <c r="P385" s="4"/>
    </row>
    <row r="386" spans="1:16" x14ac:dyDescent="0.3">
      <c r="A386" s="2" t="s">
        <v>951</v>
      </c>
      <c r="B386" s="5" t="s">
        <v>1628</v>
      </c>
      <c r="C386" s="2" t="s">
        <v>96</v>
      </c>
      <c r="D386" s="2" t="s">
        <v>416</v>
      </c>
      <c r="E386" s="2">
        <v>4</v>
      </c>
      <c r="F386" s="2">
        <v>64592</v>
      </c>
      <c r="G386" s="2" t="s">
        <v>567</v>
      </c>
      <c r="H386" s="2" t="str">
        <f t="shared" si="5"/>
        <v>("ORD-00385","2025-01-01","HOM-DEC-095","CX-076",4,64592,"Wallet"),</v>
      </c>
      <c r="N386" s="2"/>
      <c r="P386" s="4"/>
    </row>
    <row r="387" spans="1:16" x14ac:dyDescent="0.3">
      <c r="A387" s="2" t="s">
        <v>952</v>
      </c>
      <c r="B387" s="5" t="s">
        <v>1716</v>
      </c>
      <c r="C387" s="2" t="s">
        <v>23</v>
      </c>
      <c r="D387" s="2" t="s">
        <v>412</v>
      </c>
      <c r="E387" s="2">
        <v>2</v>
      </c>
      <c r="F387" s="2">
        <v>39386</v>
      </c>
      <c r="G387" s="2" t="s">
        <v>563</v>
      </c>
      <c r="H387" s="2" t="str">
        <f t="shared" ref="H387:H450" si="6">"("""&amp;A387&amp;""","""&amp;B387&amp;""","""&amp;C387&amp;""","""&amp;D387&amp;""","&amp;E387&amp;","&amp;F387&amp;","""&amp;G387&amp;"""),"</f>
        <v>("ORD-00386","2025-02-01","ELE-ACC-022","CX-078",2,39386,"Cash"),</v>
      </c>
      <c r="N387" s="2"/>
      <c r="P387" s="4"/>
    </row>
    <row r="388" spans="1:16" x14ac:dyDescent="0.3">
      <c r="A388" s="2" t="s">
        <v>953</v>
      </c>
      <c r="B388" s="5" t="s">
        <v>1808</v>
      </c>
      <c r="C388" s="2" t="s">
        <v>99</v>
      </c>
      <c r="D388" s="2" t="s">
        <v>522</v>
      </c>
      <c r="E388" s="2">
        <v>5</v>
      </c>
      <c r="F388" s="2">
        <v>166030</v>
      </c>
      <c r="G388" s="2" t="s">
        <v>572</v>
      </c>
      <c r="H388" s="2" t="str">
        <f t="shared" si="6"/>
        <v>("ORD-00387","2025-02-08","HOM-DEC-098","CX-019",5,166030,"Card"),</v>
      </c>
      <c r="N388" s="2"/>
      <c r="P388" s="4"/>
    </row>
    <row r="389" spans="1:16" x14ac:dyDescent="0.3">
      <c r="A389" s="2" t="s">
        <v>954</v>
      </c>
      <c r="B389" s="5" t="s">
        <v>1644</v>
      </c>
      <c r="C389" s="2" t="s">
        <v>125</v>
      </c>
      <c r="D389" s="2" t="s">
        <v>429</v>
      </c>
      <c r="E389" s="2">
        <v>2</v>
      </c>
      <c r="F389" s="2">
        <v>23666</v>
      </c>
      <c r="G389" s="2" t="s">
        <v>567</v>
      </c>
      <c r="H389" s="2" t="str">
        <f t="shared" si="6"/>
        <v>("ORD-00388","2025-09-17","SPO-FIT-124","CX-069",2,23666,"Wallet"),</v>
      </c>
      <c r="N389" s="2"/>
      <c r="P389" s="4"/>
    </row>
    <row r="390" spans="1:16" x14ac:dyDescent="0.3">
      <c r="A390" s="2" t="s">
        <v>955</v>
      </c>
      <c r="B390" s="5" t="s">
        <v>1646</v>
      </c>
      <c r="C390" s="2" t="s">
        <v>65</v>
      </c>
      <c r="D390" s="2" t="s">
        <v>437</v>
      </c>
      <c r="E390" s="2">
        <v>1</v>
      </c>
      <c r="F390" s="2">
        <v>7110</v>
      </c>
      <c r="G390" s="2" t="s">
        <v>572</v>
      </c>
      <c r="H390" s="2" t="str">
        <f t="shared" si="6"/>
        <v>("ORD-00389","2025-09-13","FAS-KID-064","CX-064",1,7110,"Card"),</v>
      </c>
      <c r="N390" s="2"/>
      <c r="P390" s="4"/>
    </row>
    <row r="391" spans="1:16" x14ac:dyDescent="0.3">
      <c r="A391" s="2" t="s">
        <v>956</v>
      </c>
      <c r="B391" s="5" t="s">
        <v>1809</v>
      </c>
      <c r="C391" s="2" t="s">
        <v>90</v>
      </c>
      <c r="D391" s="2" t="s">
        <v>483</v>
      </c>
      <c r="E391" s="2">
        <v>5</v>
      </c>
      <c r="F391" s="2">
        <v>275355</v>
      </c>
      <c r="G391" s="2" t="s">
        <v>570</v>
      </c>
      <c r="H391" s="2" t="str">
        <f t="shared" si="6"/>
        <v>("ORD-00390","2025-04-24","HOM-KIT-089","CX-040",5,275355,"UPI"),</v>
      </c>
      <c r="N391" s="2"/>
      <c r="P391" s="4"/>
    </row>
    <row r="392" spans="1:16" x14ac:dyDescent="0.3">
      <c r="A392" s="2" t="s">
        <v>957</v>
      </c>
      <c r="B392" s="5" t="s">
        <v>1747</v>
      </c>
      <c r="C392" s="2" t="s">
        <v>10</v>
      </c>
      <c r="D392" s="2" t="s">
        <v>515</v>
      </c>
      <c r="E392" s="2">
        <v>1</v>
      </c>
      <c r="F392" s="2">
        <v>52903</v>
      </c>
      <c r="G392" s="2" t="s">
        <v>565</v>
      </c>
      <c r="H392" s="2" t="str">
        <f t="shared" si="6"/>
        <v>("ORD-00391","2025-07-04","ELE-MOB-009","CX-023",1,52903,"NetBanking"),</v>
      </c>
      <c r="N392" s="2"/>
      <c r="P392" s="4"/>
    </row>
    <row r="393" spans="1:16" x14ac:dyDescent="0.3">
      <c r="A393" s="2" t="s">
        <v>958</v>
      </c>
      <c r="B393" s="5" t="s">
        <v>1810</v>
      </c>
      <c r="C393" s="2" t="s">
        <v>66</v>
      </c>
      <c r="D393" s="2" t="s">
        <v>501</v>
      </c>
      <c r="E393" s="2">
        <v>3</v>
      </c>
      <c r="F393" s="2">
        <v>39006</v>
      </c>
      <c r="G393" s="2" t="s">
        <v>565</v>
      </c>
      <c r="H393" s="2" t="str">
        <f t="shared" si="6"/>
        <v>("ORD-00392","2025-06-07","FAS-KID-065","CX-030",3,39006,"NetBanking"),</v>
      </c>
      <c r="N393" s="2"/>
      <c r="P393" s="4"/>
    </row>
    <row r="394" spans="1:16" x14ac:dyDescent="0.3">
      <c r="A394" s="2" t="s">
        <v>959</v>
      </c>
      <c r="B394" s="5" t="s">
        <v>1772</v>
      </c>
      <c r="C394" s="2" t="s">
        <v>121</v>
      </c>
      <c r="D394" s="2" t="s">
        <v>467</v>
      </c>
      <c r="E394" s="2">
        <v>4</v>
      </c>
      <c r="F394" s="2">
        <v>210208</v>
      </c>
      <c r="G394" s="2" t="s">
        <v>572</v>
      </c>
      <c r="H394" s="2" t="str">
        <f t="shared" si="6"/>
        <v>("ORD-00393","2025-10-05","HOM-FUR-120","CX-048",4,210208,"Card"),</v>
      </c>
      <c r="N394" s="2"/>
      <c r="P394" s="4"/>
    </row>
    <row r="395" spans="1:16" x14ac:dyDescent="0.3">
      <c r="A395" s="2" t="s">
        <v>960</v>
      </c>
      <c r="B395" s="5" t="s">
        <v>1583</v>
      </c>
      <c r="C395" s="2" t="s">
        <v>182</v>
      </c>
      <c r="D395" s="2" t="s">
        <v>503</v>
      </c>
      <c r="E395" s="2">
        <v>2</v>
      </c>
      <c r="F395" s="2">
        <v>61748</v>
      </c>
      <c r="G395" s="2" t="s">
        <v>567</v>
      </c>
      <c r="H395" s="2" t="str">
        <f t="shared" si="6"/>
        <v>("ORD-00394","2025-08-28","BEA-MAK-181","CX-029",2,61748,"Wallet"),</v>
      </c>
      <c r="N395" s="2"/>
      <c r="P395" s="4"/>
    </row>
    <row r="396" spans="1:16" x14ac:dyDescent="0.3">
      <c r="A396" s="2" t="s">
        <v>961</v>
      </c>
      <c r="B396" s="5" t="s">
        <v>1811</v>
      </c>
      <c r="C396" s="2" t="s">
        <v>161</v>
      </c>
      <c r="D396" s="2" t="s">
        <v>331</v>
      </c>
      <c r="E396" s="2">
        <v>5</v>
      </c>
      <c r="F396" s="2">
        <v>184175</v>
      </c>
      <c r="G396" s="2" t="s">
        <v>567</v>
      </c>
      <c r="H396" s="2" t="str">
        <f t="shared" si="6"/>
        <v>("ORD-00395","2025-04-18","SPO-ACC-160","CX-116",5,184175,"Wallet"),</v>
      </c>
      <c r="N396" s="2"/>
      <c r="P396" s="4"/>
    </row>
    <row r="397" spans="1:16" x14ac:dyDescent="0.3">
      <c r="A397" s="2" t="s">
        <v>962</v>
      </c>
      <c r="B397" s="5" t="s">
        <v>1741</v>
      </c>
      <c r="C397" s="2" t="s">
        <v>61</v>
      </c>
      <c r="D397" s="2" t="s">
        <v>339</v>
      </c>
      <c r="E397" s="2">
        <v>3</v>
      </c>
      <c r="F397" s="2">
        <v>152640</v>
      </c>
      <c r="G397" s="2" t="s">
        <v>563</v>
      </c>
      <c r="H397" s="2" t="str">
        <f t="shared" si="6"/>
        <v>("ORD-00396","2025-04-29","FAS-WOM-060","CX-113",3,152640,"Cash"),</v>
      </c>
      <c r="N397" s="2"/>
      <c r="P397" s="4"/>
    </row>
    <row r="398" spans="1:16" x14ac:dyDescent="0.3">
      <c r="A398" s="2" t="s">
        <v>963</v>
      </c>
      <c r="B398" s="5" t="s">
        <v>1812</v>
      </c>
      <c r="C398" s="2" t="s">
        <v>97</v>
      </c>
      <c r="D398" s="2" t="s">
        <v>541</v>
      </c>
      <c r="E398" s="2">
        <v>2</v>
      </c>
      <c r="F398" s="2">
        <v>21774</v>
      </c>
      <c r="G398" s="2" t="s">
        <v>572</v>
      </c>
      <c r="H398" s="2" t="str">
        <f t="shared" si="6"/>
        <v>("ORD-00397","2025-05-07","HOM-DEC-096","CX-009",2,21774,"Card"),</v>
      </c>
      <c r="N398" s="2"/>
      <c r="P398" s="4"/>
    </row>
    <row r="399" spans="1:16" x14ac:dyDescent="0.3">
      <c r="A399" s="2" t="s">
        <v>964</v>
      </c>
      <c r="B399" s="5" t="s">
        <v>1813</v>
      </c>
      <c r="C399" s="2" t="s">
        <v>7</v>
      </c>
      <c r="D399" s="2" t="s">
        <v>418</v>
      </c>
      <c r="E399" s="2">
        <v>4</v>
      </c>
      <c r="F399" s="2">
        <v>201512</v>
      </c>
      <c r="G399" s="2" t="s">
        <v>572</v>
      </c>
      <c r="H399" s="2" t="str">
        <f t="shared" si="6"/>
        <v>("ORD-00398","2025-09-24","ELE-MOB-006","CX-075",4,201512,"Card"),</v>
      </c>
      <c r="N399" s="2"/>
      <c r="P399" s="4"/>
    </row>
    <row r="400" spans="1:16" x14ac:dyDescent="0.3">
      <c r="A400" s="2" t="s">
        <v>965</v>
      </c>
      <c r="B400" s="5" t="s">
        <v>1814</v>
      </c>
      <c r="C400" s="2" t="s">
        <v>172</v>
      </c>
      <c r="D400" s="2" t="s">
        <v>335</v>
      </c>
      <c r="E400" s="2">
        <v>4</v>
      </c>
      <c r="F400" s="2">
        <v>232532</v>
      </c>
      <c r="G400" s="2" t="s">
        <v>563</v>
      </c>
      <c r="H400" s="2" t="str">
        <f t="shared" si="6"/>
        <v>("ORD-00399","2025-08-05","BEA-HAI-171","CX-115",4,232532,"Cash"),</v>
      </c>
      <c r="N400" s="2"/>
      <c r="P400" s="4"/>
    </row>
    <row r="401" spans="1:16" x14ac:dyDescent="0.3">
      <c r="A401" s="2" t="s">
        <v>966</v>
      </c>
      <c r="B401" s="5" t="s">
        <v>1761</v>
      </c>
      <c r="C401" s="2" t="s">
        <v>65</v>
      </c>
      <c r="D401" s="2" t="s">
        <v>503</v>
      </c>
      <c r="E401" s="2">
        <v>3</v>
      </c>
      <c r="F401" s="2">
        <v>21330</v>
      </c>
      <c r="G401" s="2" t="s">
        <v>565</v>
      </c>
      <c r="H401" s="2" t="str">
        <f t="shared" si="6"/>
        <v>("ORD-00400","2024-12-09","FAS-KID-064","CX-029",3,21330,"NetBanking"),</v>
      </c>
      <c r="N401" s="2"/>
      <c r="P401" s="4"/>
    </row>
    <row r="402" spans="1:16" x14ac:dyDescent="0.3">
      <c r="A402" s="2" t="s">
        <v>967</v>
      </c>
      <c r="B402" s="5" t="s">
        <v>1734</v>
      </c>
      <c r="C402" s="2" t="s">
        <v>196</v>
      </c>
      <c r="D402" s="2" t="s">
        <v>364</v>
      </c>
      <c r="E402" s="2">
        <v>5</v>
      </c>
      <c r="F402" s="2">
        <v>293550</v>
      </c>
      <c r="G402" s="2" t="s">
        <v>570</v>
      </c>
      <c r="H402" s="2" t="str">
        <f t="shared" si="6"/>
        <v>("ORD-00401","2025-03-17","BEA-FRA-195","CX-102",5,293550,"UPI"),</v>
      </c>
      <c r="N402" s="2"/>
      <c r="P402" s="4"/>
    </row>
    <row r="403" spans="1:16" x14ac:dyDescent="0.3">
      <c r="A403" s="2" t="s">
        <v>968</v>
      </c>
      <c r="B403" s="5" t="s">
        <v>1609</v>
      </c>
      <c r="C403" s="2" t="s">
        <v>183</v>
      </c>
      <c r="D403" s="2" t="s">
        <v>380</v>
      </c>
      <c r="E403" s="2">
        <v>2</v>
      </c>
      <c r="F403" s="2">
        <v>75478</v>
      </c>
      <c r="G403" s="2" t="s">
        <v>565</v>
      </c>
      <c r="H403" s="2" t="str">
        <f t="shared" si="6"/>
        <v>("ORD-00402","2025-10-06","BEA-MAK-182","CX-094",2,75478,"NetBanking"),</v>
      </c>
      <c r="N403" s="2"/>
      <c r="P403" s="4"/>
    </row>
    <row r="404" spans="1:16" x14ac:dyDescent="0.3">
      <c r="A404" s="2" t="s">
        <v>969</v>
      </c>
      <c r="B404" s="5" t="s">
        <v>1815</v>
      </c>
      <c r="C404" s="2" t="s">
        <v>156</v>
      </c>
      <c r="D404" s="2" t="s">
        <v>331</v>
      </c>
      <c r="E404" s="2">
        <v>2</v>
      </c>
      <c r="F404" s="2">
        <v>47656</v>
      </c>
      <c r="G404" s="2" t="s">
        <v>572</v>
      </c>
      <c r="H404" s="2" t="str">
        <f t="shared" si="6"/>
        <v>("ORD-00403","2025-08-03","SPO-ACC-155","CX-116",2,47656,"Card"),</v>
      </c>
      <c r="N404" s="2"/>
      <c r="P404" s="4"/>
    </row>
    <row r="405" spans="1:16" x14ac:dyDescent="0.3">
      <c r="A405" s="2" t="s">
        <v>970</v>
      </c>
      <c r="B405" s="5" t="s">
        <v>1735</v>
      </c>
      <c r="C405" s="2" t="s">
        <v>142</v>
      </c>
      <c r="D405" s="2" t="s">
        <v>522</v>
      </c>
      <c r="E405" s="2">
        <v>3</v>
      </c>
      <c r="F405" s="2">
        <v>107712</v>
      </c>
      <c r="G405" s="2" t="s">
        <v>565</v>
      </c>
      <c r="H405" s="2" t="str">
        <f t="shared" si="6"/>
        <v>("ORD-00404","2025-03-31","SPO-IND-141","CX-019",3,107712,"NetBanking"),</v>
      </c>
      <c r="N405" s="2"/>
      <c r="P405" s="4"/>
    </row>
    <row r="406" spans="1:16" x14ac:dyDescent="0.3">
      <c r="A406" s="2" t="s">
        <v>971</v>
      </c>
      <c r="B406" s="5" t="s">
        <v>1732</v>
      </c>
      <c r="C406" s="2" t="s">
        <v>158</v>
      </c>
      <c r="D406" s="2" t="s">
        <v>426</v>
      </c>
      <c r="E406" s="2">
        <v>5</v>
      </c>
      <c r="F406" s="2">
        <v>94900</v>
      </c>
      <c r="G406" s="2" t="s">
        <v>563</v>
      </c>
      <c r="H406" s="2" t="str">
        <f t="shared" si="6"/>
        <v>("ORD-00405","2025-06-29","SPO-ACC-157","CX-071",5,94900,"Cash"),</v>
      </c>
      <c r="N406" s="2"/>
      <c r="P406" s="4"/>
    </row>
    <row r="407" spans="1:16" x14ac:dyDescent="0.3">
      <c r="A407" s="2" t="s">
        <v>972</v>
      </c>
      <c r="B407" s="5" t="s">
        <v>1816</v>
      </c>
      <c r="C407" s="2" t="s">
        <v>90</v>
      </c>
      <c r="D407" s="2" t="s">
        <v>397</v>
      </c>
      <c r="E407" s="2">
        <v>1</v>
      </c>
      <c r="F407" s="2">
        <v>55071</v>
      </c>
      <c r="G407" s="2" t="s">
        <v>567</v>
      </c>
      <c r="H407" s="2" t="str">
        <f t="shared" si="6"/>
        <v>("ORD-00406","2025-05-28","HOM-KIT-089","CX-086",1,55071,"Wallet"),</v>
      </c>
      <c r="N407" s="2"/>
      <c r="P407" s="4"/>
    </row>
    <row r="408" spans="1:16" x14ac:dyDescent="0.3">
      <c r="A408" s="2" t="s">
        <v>973</v>
      </c>
      <c r="B408" s="5" t="s">
        <v>1700</v>
      </c>
      <c r="C408" s="2" t="s">
        <v>134</v>
      </c>
      <c r="D408" s="2" t="s">
        <v>403</v>
      </c>
      <c r="E408" s="2">
        <v>1</v>
      </c>
      <c r="F408" s="2">
        <v>3708</v>
      </c>
      <c r="G408" s="2" t="s">
        <v>567</v>
      </c>
      <c r="H408" s="2" t="str">
        <f t="shared" si="6"/>
        <v>("ORD-00407","2025-09-02","SPO-OUT-133","CX-083",1,3708,"Wallet"),</v>
      </c>
      <c r="N408" s="2"/>
      <c r="P408" s="4"/>
    </row>
    <row r="409" spans="1:16" x14ac:dyDescent="0.3">
      <c r="A409" s="2" t="s">
        <v>974</v>
      </c>
      <c r="B409" s="5" t="s">
        <v>1817</v>
      </c>
      <c r="C409" s="2" t="s">
        <v>166</v>
      </c>
      <c r="D409" s="2" t="s">
        <v>393</v>
      </c>
      <c r="E409" s="2">
        <v>4</v>
      </c>
      <c r="F409" s="2">
        <v>158568</v>
      </c>
      <c r="G409" s="2" t="s">
        <v>570</v>
      </c>
      <c r="H409" s="2" t="str">
        <f t="shared" si="6"/>
        <v>("ORD-00408","2025-10-15","BEA-SKI-165","CX-088",4,158568,"UPI"),</v>
      </c>
      <c r="N409" s="2"/>
      <c r="P409" s="4"/>
    </row>
    <row r="410" spans="1:16" x14ac:dyDescent="0.3">
      <c r="A410" s="2" t="s">
        <v>975</v>
      </c>
      <c r="B410" s="5" t="s">
        <v>1677</v>
      </c>
      <c r="C410" s="2" t="s">
        <v>98</v>
      </c>
      <c r="D410" s="2" t="s">
        <v>533</v>
      </c>
      <c r="E410" s="2">
        <v>1</v>
      </c>
      <c r="F410" s="2">
        <v>16361</v>
      </c>
      <c r="G410" s="2" t="s">
        <v>565</v>
      </c>
      <c r="H410" s="2" t="str">
        <f t="shared" si="6"/>
        <v>("ORD-00409","2025-08-18","HOM-DEC-097","CX-013",1,16361,"NetBanking"),</v>
      </c>
      <c r="N410" s="2"/>
      <c r="P410" s="4"/>
    </row>
    <row r="411" spans="1:16" x14ac:dyDescent="0.3">
      <c r="A411" s="2" t="s">
        <v>976</v>
      </c>
      <c r="B411" s="5" t="s">
        <v>1799</v>
      </c>
      <c r="C411" s="2" t="s">
        <v>113</v>
      </c>
      <c r="D411" s="2" t="s">
        <v>382</v>
      </c>
      <c r="E411" s="2">
        <v>2</v>
      </c>
      <c r="F411" s="2">
        <v>77602</v>
      </c>
      <c r="G411" s="2" t="s">
        <v>572</v>
      </c>
      <c r="H411" s="2" t="str">
        <f t="shared" si="6"/>
        <v>("ORD-00410","2025-07-18","HOM-FUR-112","CX-093",2,77602,"Card"),</v>
      </c>
      <c r="N411" s="2"/>
      <c r="P411" s="4"/>
    </row>
    <row r="412" spans="1:16" x14ac:dyDescent="0.3">
      <c r="A412" s="2" t="s">
        <v>977</v>
      </c>
      <c r="B412" s="5" t="s">
        <v>1674</v>
      </c>
      <c r="C412" s="2" t="s">
        <v>2</v>
      </c>
      <c r="D412" s="2" t="s">
        <v>541</v>
      </c>
      <c r="E412" s="2">
        <v>1</v>
      </c>
      <c r="F412" s="2">
        <v>24723</v>
      </c>
      <c r="G412" s="2" t="s">
        <v>572</v>
      </c>
      <c r="H412" s="2" t="str">
        <f t="shared" si="6"/>
        <v>("ORD-00411","2025-05-04","ELE-MOB-001","CX-009",1,24723,"Card"),</v>
      </c>
      <c r="N412" s="2"/>
      <c r="P412" s="4"/>
    </row>
    <row r="413" spans="1:16" x14ac:dyDescent="0.3">
      <c r="A413" s="2" t="s">
        <v>978</v>
      </c>
      <c r="B413" s="5" t="s">
        <v>1635</v>
      </c>
      <c r="C413" s="2" t="s">
        <v>196</v>
      </c>
      <c r="D413" s="2" t="s">
        <v>422</v>
      </c>
      <c r="E413" s="2">
        <v>5</v>
      </c>
      <c r="F413" s="2">
        <v>293550</v>
      </c>
      <c r="G413" s="2" t="s">
        <v>563</v>
      </c>
      <c r="H413" s="2" t="str">
        <f t="shared" si="6"/>
        <v>("ORD-00412","2025-11-09","BEA-FRA-195","CX-073",5,293550,"Cash"),</v>
      </c>
      <c r="N413" s="2"/>
      <c r="P413" s="4"/>
    </row>
    <row r="414" spans="1:16" x14ac:dyDescent="0.3">
      <c r="A414" s="2" t="s">
        <v>979</v>
      </c>
      <c r="B414" s="5" t="s">
        <v>1783</v>
      </c>
      <c r="C414" s="2" t="s">
        <v>117</v>
      </c>
      <c r="D414" s="2" t="s">
        <v>497</v>
      </c>
      <c r="E414" s="2">
        <v>1</v>
      </c>
      <c r="F414" s="2">
        <v>56787</v>
      </c>
      <c r="G414" s="2" t="s">
        <v>563</v>
      </c>
      <c r="H414" s="2" t="str">
        <f t="shared" si="6"/>
        <v>("ORD-00413","2025-10-11","HOM-FUR-116","CX-032",1,56787,"Cash"),</v>
      </c>
      <c r="N414" s="2"/>
      <c r="P414" s="4"/>
    </row>
    <row r="415" spans="1:16" x14ac:dyDescent="0.3">
      <c r="A415" s="2" t="s">
        <v>980</v>
      </c>
      <c r="B415" s="5" t="s">
        <v>1676</v>
      </c>
      <c r="C415" s="2" t="s">
        <v>82</v>
      </c>
      <c r="D415" s="2" t="s">
        <v>520</v>
      </c>
      <c r="E415" s="2">
        <v>4</v>
      </c>
      <c r="F415" s="2">
        <v>80812</v>
      </c>
      <c r="G415" s="2" t="s">
        <v>570</v>
      </c>
      <c r="H415" s="2" t="str">
        <f t="shared" si="6"/>
        <v>("ORD-00414","2025-03-29","HOM-KIT-081","CX-020",4,80812,"UPI"),</v>
      </c>
      <c r="N415" s="2"/>
      <c r="P415" s="4"/>
    </row>
    <row r="416" spans="1:16" x14ac:dyDescent="0.3">
      <c r="A416" s="2" t="s">
        <v>981</v>
      </c>
      <c r="B416" s="5" t="s">
        <v>1757</v>
      </c>
      <c r="C416" s="2" t="s">
        <v>115</v>
      </c>
      <c r="D416" s="2" t="s">
        <v>533</v>
      </c>
      <c r="E416" s="2">
        <v>5</v>
      </c>
      <c r="F416" s="2">
        <v>166760</v>
      </c>
      <c r="G416" s="2" t="s">
        <v>565</v>
      </c>
      <c r="H416" s="2" t="str">
        <f t="shared" si="6"/>
        <v>("ORD-00415","2025-06-25","HOM-FUR-114","CX-013",5,166760,"NetBanking"),</v>
      </c>
      <c r="N416" s="2"/>
      <c r="P416" s="4"/>
    </row>
    <row r="417" spans="1:16" x14ac:dyDescent="0.3">
      <c r="A417" s="2" t="s">
        <v>982</v>
      </c>
      <c r="B417" s="5" t="s">
        <v>1641</v>
      </c>
      <c r="C417" s="2" t="s">
        <v>98</v>
      </c>
      <c r="D417" s="2" t="s">
        <v>522</v>
      </c>
      <c r="E417" s="2">
        <v>2</v>
      </c>
      <c r="F417" s="2">
        <v>32722</v>
      </c>
      <c r="G417" s="2" t="s">
        <v>572</v>
      </c>
      <c r="H417" s="2" t="str">
        <f t="shared" si="6"/>
        <v>("ORD-00416","2025-11-06","HOM-DEC-097","CX-019",2,32722,"Card"),</v>
      </c>
      <c r="N417" s="2"/>
      <c r="P417" s="4"/>
    </row>
    <row r="418" spans="1:16" x14ac:dyDescent="0.3">
      <c r="A418" s="2" t="s">
        <v>983</v>
      </c>
      <c r="B418" s="5" t="s">
        <v>1616</v>
      </c>
      <c r="C418" s="2" t="s">
        <v>153</v>
      </c>
      <c r="D418" s="2" t="s">
        <v>403</v>
      </c>
      <c r="E418" s="2">
        <v>5</v>
      </c>
      <c r="F418" s="2">
        <v>65865</v>
      </c>
      <c r="G418" s="2" t="s">
        <v>572</v>
      </c>
      <c r="H418" s="2" t="str">
        <f t="shared" si="6"/>
        <v>("ORD-00417","2025-10-09","SPO-ACC-152","CX-083",5,65865,"Card"),</v>
      </c>
      <c r="N418" s="2"/>
      <c r="P418" s="4"/>
    </row>
    <row r="419" spans="1:16" x14ac:dyDescent="0.3">
      <c r="A419" s="2" t="s">
        <v>984</v>
      </c>
      <c r="B419" s="5" t="s">
        <v>1605</v>
      </c>
      <c r="C419" s="2" t="s">
        <v>9</v>
      </c>
      <c r="D419" s="2" t="s">
        <v>487</v>
      </c>
      <c r="E419" s="2">
        <v>4</v>
      </c>
      <c r="F419" s="2">
        <v>16484</v>
      </c>
      <c r="G419" s="2" t="s">
        <v>567</v>
      </c>
      <c r="H419" s="2" t="str">
        <f t="shared" si="6"/>
        <v>("ORD-00418","2025-08-16","ELE-MOB-008","CX-037",4,16484,"Wallet"),</v>
      </c>
      <c r="N419" s="2"/>
      <c r="P419" s="4"/>
    </row>
    <row r="420" spans="1:16" x14ac:dyDescent="0.3">
      <c r="A420" s="2" t="s">
        <v>985</v>
      </c>
      <c r="B420" s="5" t="s">
        <v>1818</v>
      </c>
      <c r="C420" s="2" t="s">
        <v>17</v>
      </c>
      <c r="D420" s="2" t="s">
        <v>525</v>
      </c>
      <c r="E420" s="2">
        <v>2</v>
      </c>
      <c r="F420" s="2">
        <v>15918</v>
      </c>
      <c r="G420" s="2" t="s">
        <v>567</v>
      </c>
      <c r="H420" s="2" t="str">
        <f t="shared" si="6"/>
        <v>("ORD-00419","2025-09-21","ELE-LAP-016","CX-017",2,15918,"Wallet"),</v>
      </c>
      <c r="N420" s="2"/>
      <c r="P420" s="4"/>
    </row>
    <row r="421" spans="1:16" x14ac:dyDescent="0.3">
      <c r="A421" s="2" t="s">
        <v>986</v>
      </c>
      <c r="B421" s="5" t="s">
        <v>1688</v>
      </c>
      <c r="C421" s="2" t="s">
        <v>93</v>
      </c>
      <c r="D421" s="2" t="s">
        <v>529</v>
      </c>
      <c r="E421" s="2">
        <v>3</v>
      </c>
      <c r="F421" s="2">
        <v>5721</v>
      </c>
      <c r="G421" s="2" t="s">
        <v>572</v>
      </c>
      <c r="H421" s="2" t="str">
        <f t="shared" si="6"/>
        <v>("ORD-00420","2025-10-19","HOM-DEC-092","CX-015",3,5721,"Card"),</v>
      </c>
      <c r="N421" s="2"/>
      <c r="P421" s="4"/>
    </row>
    <row r="422" spans="1:16" x14ac:dyDescent="0.3">
      <c r="A422" s="2" t="s">
        <v>987</v>
      </c>
      <c r="B422" s="5" t="s">
        <v>1590</v>
      </c>
      <c r="C422" s="2" t="s">
        <v>187</v>
      </c>
      <c r="D422" s="2" t="s">
        <v>469</v>
      </c>
      <c r="E422" s="2">
        <v>3</v>
      </c>
      <c r="F422" s="2">
        <v>42519</v>
      </c>
      <c r="G422" s="2" t="s">
        <v>570</v>
      </c>
      <c r="H422" s="2" t="str">
        <f t="shared" si="6"/>
        <v>("ORD-00421","2025-02-12","BEA-MAK-186","CX-047",3,42519,"UPI"),</v>
      </c>
      <c r="N422" s="2"/>
      <c r="P422" s="4"/>
    </row>
    <row r="423" spans="1:16" x14ac:dyDescent="0.3">
      <c r="A423" s="2" t="s">
        <v>988</v>
      </c>
      <c r="B423" s="5" t="s">
        <v>1586</v>
      </c>
      <c r="C423" s="2" t="s">
        <v>81</v>
      </c>
      <c r="D423" s="2" t="s">
        <v>533</v>
      </c>
      <c r="E423" s="2">
        <v>5</v>
      </c>
      <c r="F423" s="2">
        <v>15345</v>
      </c>
      <c r="G423" s="2" t="s">
        <v>570</v>
      </c>
      <c r="H423" s="2" t="str">
        <f t="shared" si="6"/>
        <v>("ORD-00422","2025-07-02","FAS-FOO-080","CX-013",5,15345,"UPI"),</v>
      </c>
      <c r="N423" s="2"/>
      <c r="P423" s="4"/>
    </row>
    <row r="424" spans="1:16" x14ac:dyDescent="0.3">
      <c r="A424" s="2" t="s">
        <v>989</v>
      </c>
      <c r="B424" s="5" t="s">
        <v>1745</v>
      </c>
      <c r="C424" s="2" t="s">
        <v>184</v>
      </c>
      <c r="D424" s="2" t="s">
        <v>420</v>
      </c>
      <c r="E424" s="2">
        <v>4</v>
      </c>
      <c r="F424" s="2">
        <v>24336</v>
      </c>
      <c r="G424" s="2" t="s">
        <v>567</v>
      </c>
      <c r="H424" s="2" t="str">
        <f t="shared" si="6"/>
        <v>("ORD-00423","2025-07-31","BEA-MAK-183","CX-074",4,24336,"Wallet"),</v>
      </c>
      <c r="N424" s="2"/>
      <c r="P424" s="4"/>
    </row>
    <row r="425" spans="1:16" x14ac:dyDescent="0.3">
      <c r="A425" s="2" t="s">
        <v>990</v>
      </c>
      <c r="B425" s="5" t="s">
        <v>1696</v>
      </c>
      <c r="C425" s="2" t="s">
        <v>6</v>
      </c>
      <c r="D425" s="2" t="s">
        <v>551</v>
      </c>
      <c r="E425" s="2">
        <v>3</v>
      </c>
      <c r="F425" s="2">
        <v>48939</v>
      </c>
      <c r="G425" s="2" t="s">
        <v>567</v>
      </c>
      <c r="H425" s="2" t="str">
        <f t="shared" si="6"/>
        <v>("ORD-00424","2025-04-02","ELE-MOB-005","CX-003",3,48939,"Wallet"),</v>
      </c>
      <c r="N425" s="2"/>
      <c r="P425" s="4"/>
    </row>
    <row r="426" spans="1:16" x14ac:dyDescent="0.3">
      <c r="A426" s="2" t="s">
        <v>991</v>
      </c>
      <c r="B426" s="5" t="s">
        <v>1819</v>
      </c>
      <c r="C426" s="2" t="s">
        <v>195</v>
      </c>
      <c r="D426" s="2" t="s">
        <v>551</v>
      </c>
      <c r="E426" s="2">
        <v>5</v>
      </c>
      <c r="F426" s="2">
        <v>174940</v>
      </c>
      <c r="G426" s="2" t="s">
        <v>570</v>
      </c>
      <c r="H426" s="2" t="str">
        <f t="shared" si="6"/>
        <v>("ORD-00425","2025-01-06","BEA-FRA-194","CX-003",5,174940,"UPI"),</v>
      </c>
      <c r="N426" s="2"/>
      <c r="P426" s="4"/>
    </row>
    <row r="427" spans="1:16" x14ac:dyDescent="0.3">
      <c r="A427" s="2" t="s">
        <v>992</v>
      </c>
      <c r="B427" s="5" t="s">
        <v>1741</v>
      </c>
      <c r="C427" s="2" t="s">
        <v>72</v>
      </c>
      <c r="D427" s="2" t="s">
        <v>507</v>
      </c>
      <c r="E427" s="2">
        <v>5</v>
      </c>
      <c r="F427" s="2">
        <v>239680</v>
      </c>
      <c r="G427" s="2" t="s">
        <v>565</v>
      </c>
      <c r="H427" s="2" t="str">
        <f t="shared" si="6"/>
        <v>("ORD-00426","2025-04-29","FAS-FOO-071","CX-027",5,239680,"NetBanking"),</v>
      </c>
      <c r="N427" s="2"/>
      <c r="P427" s="4"/>
    </row>
    <row r="428" spans="1:16" x14ac:dyDescent="0.3">
      <c r="A428" s="2" t="s">
        <v>993</v>
      </c>
      <c r="B428" s="5" t="s">
        <v>1702</v>
      </c>
      <c r="C428" s="2" t="s">
        <v>105</v>
      </c>
      <c r="D428" s="2" t="s">
        <v>507</v>
      </c>
      <c r="E428" s="2">
        <v>1</v>
      </c>
      <c r="F428" s="2">
        <v>41102</v>
      </c>
      <c r="G428" s="2" t="s">
        <v>567</v>
      </c>
      <c r="H428" s="2" t="str">
        <f t="shared" si="6"/>
        <v>("ORD-00427","2025-04-08","HOM-APP-104","CX-027",1,41102,"Wallet"),</v>
      </c>
      <c r="N428" s="2"/>
      <c r="P428" s="4"/>
    </row>
    <row r="429" spans="1:16" x14ac:dyDescent="0.3">
      <c r="A429" s="2" t="s">
        <v>994</v>
      </c>
      <c r="B429" s="5" t="s">
        <v>1745</v>
      </c>
      <c r="C429" s="2" t="s">
        <v>183</v>
      </c>
      <c r="D429" s="2" t="s">
        <v>331</v>
      </c>
      <c r="E429" s="2">
        <v>5</v>
      </c>
      <c r="F429" s="2">
        <v>188695</v>
      </c>
      <c r="G429" s="2" t="s">
        <v>567</v>
      </c>
      <c r="H429" s="2" t="str">
        <f t="shared" si="6"/>
        <v>("ORD-00428","2025-07-31","BEA-MAK-182","CX-116",5,188695,"Wallet"),</v>
      </c>
      <c r="N429" s="2"/>
      <c r="P429" s="4"/>
    </row>
    <row r="430" spans="1:16" x14ac:dyDescent="0.3">
      <c r="A430" s="2" t="s">
        <v>995</v>
      </c>
      <c r="B430" s="5" t="s">
        <v>1820</v>
      </c>
      <c r="C430" s="2" t="s">
        <v>129</v>
      </c>
      <c r="D430" s="2" t="s">
        <v>427</v>
      </c>
      <c r="E430" s="2">
        <v>1</v>
      </c>
      <c r="F430" s="2">
        <v>8203</v>
      </c>
      <c r="G430" s="2" t="s">
        <v>567</v>
      </c>
      <c r="H430" s="2" t="str">
        <f t="shared" si="6"/>
        <v>("ORD-00429","2025-06-08","SPO-FIT-128","CX-070",1,8203,"Wallet"),</v>
      </c>
      <c r="N430" s="2"/>
      <c r="P430" s="4"/>
    </row>
    <row r="431" spans="1:16" x14ac:dyDescent="0.3">
      <c r="A431" s="2" t="s">
        <v>996</v>
      </c>
      <c r="B431" s="5" t="s">
        <v>1779</v>
      </c>
      <c r="C431" s="2" t="s">
        <v>187</v>
      </c>
      <c r="D431" s="2" t="s">
        <v>529</v>
      </c>
      <c r="E431" s="2">
        <v>1</v>
      </c>
      <c r="F431" s="2">
        <v>14173</v>
      </c>
      <c r="G431" s="2" t="s">
        <v>570</v>
      </c>
      <c r="H431" s="2" t="str">
        <f t="shared" si="6"/>
        <v>("ORD-00430","2025-02-27","BEA-MAK-186","CX-015",1,14173,"UPI"),</v>
      </c>
      <c r="N431" s="2"/>
      <c r="P431" s="4"/>
    </row>
    <row r="432" spans="1:16" x14ac:dyDescent="0.3">
      <c r="A432" s="2" t="s">
        <v>997</v>
      </c>
      <c r="B432" s="5" t="s">
        <v>1805</v>
      </c>
      <c r="C432" s="2" t="s">
        <v>77</v>
      </c>
      <c r="D432" s="2" t="s">
        <v>531</v>
      </c>
      <c r="E432" s="2">
        <v>2</v>
      </c>
      <c r="F432" s="2">
        <v>60910</v>
      </c>
      <c r="G432" s="2" t="s">
        <v>567</v>
      </c>
      <c r="H432" s="2" t="str">
        <f t="shared" si="6"/>
        <v>("ORD-00431","2025-07-22","FAS-FOO-076","CX-014",2,60910,"Wallet"),</v>
      </c>
      <c r="N432" s="2"/>
      <c r="P432" s="4"/>
    </row>
    <row r="433" spans="1:16" x14ac:dyDescent="0.3">
      <c r="A433" s="2" t="s">
        <v>998</v>
      </c>
      <c r="B433" s="5" t="s">
        <v>1821</v>
      </c>
      <c r="C433" s="2" t="s">
        <v>104</v>
      </c>
      <c r="D433" s="2" t="s">
        <v>441</v>
      </c>
      <c r="E433" s="2">
        <v>1</v>
      </c>
      <c r="F433" s="2">
        <v>36331</v>
      </c>
      <c r="G433" s="2" t="s">
        <v>563</v>
      </c>
      <c r="H433" s="2" t="str">
        <f t="shared" si="6"/>
        <v>("ORD-00432","2025-08-17","HOM-APP-103","CX-062",1,36331,"Cash"),</v>
      </c>
      <c r="N433" s="2"/>
      <c r="P433" s="4"/>
    </row>
    <row r="434" spans="1:16" x14ac:dyDescent="0.3">
      <c r="A434" s="2" t="s">
        <v>999</v>
      </c>
      <c r="B434" s="5" t="s">
        <v>1672</v>
      </c>
      <c r="C434" s="2" t="s">
        <v>104</v>
      </c>
      <c r="D434" s="2" t="s">
        <v>370</v>
      </c>
      <c r="E434" s="2">
        <v>1</v>
      </c>
      <c r="F434" s="2">
        <v>36331</v>
      </c>
      <c r="G434" s="2" t="s">
        <v>567</v>
      </c>
      <c r="H434" s="2" t="str">
        <f t="shared" si="6"/>
        <v>("ORD-00433","2024-12-26","HOM-APP-103","CX-099",1,36331,"Wallet"),</v>
      </c>
      <c r="N434" s="2"/>
      <c r="P434" s="4"/>
    </row>
    <row r="435" spans="1:16" x14ac:dyDescent="0.3">
      <c r="A435" s="2" t="s">
        <v>1000</v>
      </c>
      <c r="B435" s="5" t="s">
        <v>1750</v>
      </c>
      <c r="C435" s="2" t="s">
        <v>179</v>
      </c>
      <c r="D435" s="2" t="s">
        <v>360</v>
      </c>
      <c r="E435" s="2">
        <v>1</v>
      </c>
      <c r="F435" s="2">
        <v>35056</v>
      </c>
      <c r="G435" s="2" t="s">
        <v>570</v>
      </c>
      <c r="H435" s="2" t="str">
        <f t="shared" si="6"/>
        <v>("ORD-00434","2025-09-07","BEA-HAI-178","CX-104",1,35056,"UPI"),</v>
      </c>
      <c r="N435" s="2"/>
      <c r="P435" s="4"/>
    </row>
    <row r="436" spans="1:16" x14ac:dyDescent="0.3">
      <c r="A436" s="2" t="s">
        <v>1001</v>
      </c>
      <c r="B436" s="5" t="s">
        <v>1822</v>
      </c>
      <c r="C436" s="2" t="s">
        <v>78</v>
      </c>
      <c r="D436" s="2" t="s">
        <v>395</v>
      </c>
      <c r="E436" s="2">
        <v>5</v>
      </c>
      <c r="F436" s="2">
        <v>262225</v>
      </c>
      <c r="G436" s="2" t="s">
        <v>572</v>
      </c>
      <c r="H436" s="2" t="str">
        <f t="shared" si="6"/>
        <v>("ORD-00435","2025-07-21","FAS-FOO-077","CX-087",5,262225,"Card"),</v>
      </c>
      <c r="N436" s="2"/>
      <c r="P436" s="4"/>
    </row>
    <row r="437" spans="1:16" x14ac:dyDescent="0.3">
      <c r="A437" s="2" t="s">
        <v>1002</v>
      </c>
      <c r="B437" s="5" t="s">
        <v>1823</v>
      </c>
      <c r="C437" s="2" t="s">
        <v>115</v>
      </c>
      <c r="D437" s="2" t="s">
        <v>374</v>
      </c>
      <c r="E437" s="2">
        <v>3</v>
      </c>
      <c r="F437" s="2">
        <v>100056</v>
      </c>
      <c r="G437" s="2" t="s">
        <v>570</v>
      </c>
      <c r="H437" s="2" t="str">
        <f t="shared" si="6"/>
        <v>("ORD-00436","2025-10-02","HOM-FUR-114","CX-097",3,100056,"UPI"),</v>
      </c>
      <c r="N437" s="2"/>
      <c r="P437" s="4"/>
    </row>
    <row r="438" spans="1:16" x14ac:dyDescent="0.3">
      <c r="A438" s="2" t="s">
        <v>1003</v>
      </c>
      <c r="B438" s="5" t="s">
        <v>1605</v>
      </c>
      <c r="C438" s="2" t="s">
        <v>9</v>
      </c>
      <c r="D438" s="2" t="s">
        <v>518</v>
      </c>
      <c r="E438" s="2">
        <v>3</v>
      </c>
      <c r="F438" s="2">
        <v>12363</v>
      </c>
      <c r="G438" s="2" t="s">
        <v>563</v>
      </c>
      <c r="H438" s="2" t="str">
        <f t="shared" si="6"/>
        <v>("ORD-00437","2025-08-16","ELE-MOB-008","CX-021",3,12363,"Cash"),</v>
      </c>
      <c r="N438" s="2"/>
      <c r="P438" s="4"/>
    </row>
    <row r="439" spans="1:16" x14ac:dyDescent="0.3">
      <c r="A439" s="2" t="s">
        <v>1004</v>
      </c>
      <c r="B439" s="5" t="s">
        <v>1581</v>
      </c>
      <c r="C439" s="2" t="s">
        <v>89</v>
      </c>
      <c r="D439" s="2" t="s">
        <v>518</v>
      </c>
      <c r="E439" s="2">
        <v>2</v>
      </c>
      <c r="F439" s="2">
        <v>55450</v>
      </c>
      <c r="G439" s="2" t="s">
        <v>572</v>
      </c>
      <c r="H439" s="2" t="str">
        <f t="shared" si="6"/>
        <v>("ORD-00438","2025-07-28","HOM-KIT-088","CX-021",2,55450,"Card"),</v>
      </c>
      <c r="N439" s="2"/>
      <c r="P439" s="4"/>
    </row>
    <row r="440" spans="1:16" x14ac:dyDescent="0.3">
      <c r="A440" s="2" t="s">
        <v>1005</v>
      </c>
      <c r="B440" s="5" t="s">
        <v>1643</v>
      </c>
      <c r="C440" s="2" t="s">
        <v>156</v>
      </c>
      <c r="D440" s="2" t="s">
        <v>445</v>
      </c>
      <c r="E440" s="2">
        <v>4</v>
      </c>
      <c r="F440" s="2">
        <v>95312</v>
      </c>
      <c r="G440" s="2" t="s">
        <v>563</v>
      </c>
      <c r="H440" s="2" t="str">
        <f t="shared" si="6"/>
        <v>("ORD-00439","2025-01-19","SPO-ACC-155","CX-060",4,95312,"Cash"),</v>
      </c>
      <c r="N440" s="2"/>
      <c r="P440" s="4"/>
    </row>
    <row r="441" spans="1:16" x14ac:dyDescent="0.3">
      <c r="A441" s="2" t="s">
        <v>1006</v>
      </c>
      <c r="B441" s="5" t="s">
        <v>1824</v>
      </c>
      <c r="C441" s="2" t="s">
        <v>117</v>
      </c>
      <c r="D441" s="2" t="s">
        <v>431</v>
      </c>
      <c r="E441" s="2">
        <v>3</v>
      </c>
      <c r="F441" s="2">
        <v>170361</v>
      </c>
      <c r="G441" s="2" t="s">
        <v>565</v>
      </c>
      <c r="H441" s="2" t="str">
        <f t="shared" si="6"/>
        <v>("ORD-00440","2025-06-19","HOM-FUR-116","CX-068",3,170361,"NetBanking"),</v>
      </c>
      <c r="N441" s="2"/>
      <c r="P441" s="4"/>
    </row>
    <row r="442" spans="1:16" x14ac:dyDescent="0.3">
      <c r="A442" s="2" t="s">
        <v>1007</v>
      </c>
      <c r="B442" s="5" t="s">
        <v>1825</v>
      </c>
      <c r="C442" s="2" t="s">
        <v>26</v>
      </c>
      <c r="D442" s="2" t="s">
        <v>437</v>
      </c>
      <c r="E442" s="2">
        <v>4</v>
      </c>
      <c r="F442" s="2">
        <v>116712</v>
      </c>
      <c r="G442" s="2" t="s">
        <v>567</v>
      </c>
      <c r="H442" s="2" t="str">
        <f t="shared" si="6"/>
        <v>("ORD-00441","2025-09-23","ELE-ACC-025","CX-064",4,116712,"Wallet"),</v>
      </c>
      <c r="N442" s="2"/>
      <c r="P442" s="4"/>
    </row>
    <row r="443" spans="1:16" x14ac:dyDescent="0.3">
      <c r="A443" s="2" t="s">
        <v>1008</v>
      </c>
      <c r="B443" s="5" t="s">
        <v>1737</v>
      </c>
      <c r="C443" s="2" t="s">
        <v>12</v>
      </c>
      <c r="D443" s="2" t="s">
        <v>527</v>
      </c>
      <c r="E443" s="2">
        <v>2</v>
      </c>
      <c r="F443" s="2">
        <v>87290</v>
      </c>
      <c r="G443" s="2" t="s">
        <v>572</v>
      </c>
      <c r="H443" s="2" t="str">
        <f t="shared" si="6"/>
        <v>("ORD-00442","2025-02-02","ELE-LAP-011","CX-016",2,87290,"Card"),</v>
      </c>
      <c r="N443" s="2"/>
      <c r="P443" s="4"/>
    </row>
    <row r="444" spans="1:16" x14ac:dyDescent="0.3">
      <c r="A444" s="2" t="s">
        <v>1009</v>
      </c>
      <c r="B444" s="5" t="s">
        <v>1771</v>
      </c>
      <c r="C444" s="2" t="s">
        <v>153</v>
      </c>
      <c r="D444" s="2" t="s">
        <v>356</v>
      </c>
      <c r="E444" s="2">
        <v>2</v>
      </c>
      <c r="F444" s="2">
        <v>26346</v>
      </c>
      <c r="G444" s="2" t="s">
        <v>563</v>
      </c>
      <c r="H444" s="2" t="str">
        <f t="shared" si="6"/>
        <v>("ORD-00443","2025-11-07","SPO-ACC-152","CX-106",2,26346,"Cash"),</v>
      </c>
      <c r="N444" s="2"/>
      <c r="P444" s="4"/>
    </row>
    <row r="445" spans="1:16" x14ac:dyDescent="0.3">
      <c r="A445" s="2" t="s">
        <v>1010</v>
      </c>
      <c r="B445" s="5" t="s">
        <v>1766</v>
      </c>
      <c r="C445" s="2" t="s">
        <v>119</v>
      </c>
      <c r="D445" s="2" t="s">
        <v>395</v>
      </c>
      <c r="E445" s="2">
        <v>2</v>
      </c>
      <c r="F445" s="2">
        <v>19584</v>
      </c>
      <c r="G445" s="2" t="s">
        <v>567</v>
      </c>
      <c r="H445" s="2" t="str">
        <f t="shared" si="6"/>
        <v>("ORD-00444","2025-03-16","HOM-FUR-118","CX-087",2,19584,"Wallet"),</v>
      </c>
      <c r="N445" s="2"/>
      <c r="P445" s="4"/>
    </row>
    <row r="446" spans="1:16" x14ac:dyDescent="0.3">
      <c r="A446" s="2" t="s">
        <v>1011</v>
      </c>
      <c r="B446" s="5" t="s">
        <v>1823</v>
      </c>
      <c r="C446" s="2" t="s">
        <v>109</v>
      </c>
      <c r="D446" s="2" t="s">
        <v>407</v>
      </c>
      <c r="E446" s="2">
        <v>4</v>
      </c>
      <c r="F446" s="2">
        <v>75848</v>
      </c>
      <c r="G446" s="2" t="s">
        <v>565</v>
      </c>
      <c r="H446" s="2" t="str">
        <f t="shared" si="6"/>
        <v>("ORD-00445","2025-10-02","HOM-APP-108","CX-081",4,75848,"NetBanking"),</v>
      </c>
      <c r="N446" s="2"/>
      <c r="P446" s="4"/>
    </row>
    <row r="447" spans="1:16" x14ac:dyDescent="0.3">
      <c r="A447" s="2" t="s">
        <v>1012</v>
      </c>
      <c r="B447" s="5" t="s">
        <v>1752</v>
      </c>
      <c r="C447" s="2" t="s">
        <v>166</v>
      </c>
      <c r="D447" s="2" t="s">
        <v>358</v>
      </c>
      <c r="E447" s="2">
        <v>5</v>
      </c>
      <c r="F447" s="2">
        <v>198210</v>
      </c>
      <c r="G447" s="2" t="s">
        <v>570</v>
      </c>
      <c r="H447" s="2" t="str">
        <f t="shared" si="6"/>
        <v>("ORD-00446","2025-08-19","BEA-SKI-165","CX-105",5,198210,"UPI"),</v>
      </c>
      <c r="N447" s="2"/>
      <c r="P447" s="4"/>
    </row>
    <row r="448" spans="1:16" x14ac:dyDescent="0.3">
      <c r="A448" s="2" t="s">
        <v>1013</v>
      </c>
      <c r="B448" s="5" t="s">
        <v>1610</v>
      </c>
      <c r="C448" s="2" t="s">
        <v>163</v>
      </c>
      <c r="D448" s="2" t="s">
        <v>553</v>
      </c>
      <c r="E448" s="2">
        <v>1</v>
      </c>
      <c r="F448" s="2">
        <v>57387</v>
      </c>
      <c r="G448" s="2" t="s">
        <v>563</v>
      </c>
      <c r="H448" s="2" t="str">
        <f t="shared" si="6"/>
        <v>("ORD-00447","2025-01-04","BEA-SKI-162","CX-002",1,57387,"Cash"),</v>
      </c>
      <c r="N448" s="2"/>
      <c r="P448" s="4"/>
    </row>
    <row r="449" spans="1:16" x14ac:dyDescent="0.3">
      <c r="A449" s="2" t="s">
        <v>1014</v>
      </c>
      <c r="B449" s="5" t="s">
        <v>1647</v>
      </c>
      <c r="C449" s="2" t="s">
        <v>112</v>
      </c>
      <c r="D449" s="2" t="s">
        <v>426</v>
      </c>
      <c r="E449" s="2">
        <v>4</v>
      </c>
      <c r="F449" s="2">
        <v>223600</v>
      </c>
      <c r="G449" s="2" t="s">
        <v>563</v>
      </c>
      <c r="H449" s="2" t="str">
        <f t="shared" si="6"/>
        <v>("ORD-00448","2025-06-18","HOM-FUR-111","CX-071",4,223600,"Cash"),</v>
      </c>
      <c r="N449" s="2"/>
      <c r="P449" s="4"/>
    </row>
    <row r="450" spans="1:16" x14ac:dyDescent="0.3">
      <c r="A450" s="2" t="s">
        <v>1015</v>
      </c>
      <c r="B450" s="5" t="s">
        <v>1648</v>
      </c>
      <c r="C450" s="2" t="s">
        <v>48</v>
      </c>
      <c r="D450" s="2" t="s">
        <v>358</v>
      </c>
      <c r="E450" s="2">
        <v>4</v>
      </c>
      <c r="F450" s="2">
        <v>190140</v>
      </c>
      <c r="G450" s="2" t="s">
        <v>563</v>
      </c>
      <c r="H450" s="2" t="str">
        <f t="shared" si="6"/>
        <v>("ORD-00449","2025-10-10","FAS-MEN-047","CX-105",4,190140,"Cash"),</v>
      </c>
      <c r="N450" s="2"/>
      <c r="P450" s="4"/>
    </row>
    <row r="451" spans="1:16" x14ac:dyDescent="0.3">
      <c r="A451" s="2" t="s">
        <v>1016</v>
      </c>
      <c r="B451" s="5" t="s">
        <v>1711</v>
      </c>
      <c r="C451" s="2" t="s">
        <v>112</v>
      </c>
      <c r="D451" s="2" t="s">
        <v>418</v>
      </c>
      <c r="E451" s="2">
        <v>3</v>
      </c>
      <c r="F451" s="2">
        <v>167700</v>
      </c>
      <c r="G451" s="2" t="s">
        <v>565</v>
      </c>
      <c r="H451" s="2" t="str">
        <f t="shared" ref="H451:H514" si="7">"("""&amp;A451&amp;""","""&amp;B451&amp;""","""&amp;C451&amp;""","""&amp;D451&amp;""","&amp;E451&amp;","&amp;F451&amp;","""&amp;G451&amp;"""),"</f>
        <v>("ORD-00450","2025-11-14","HOM-FUR-111","CX-075",3,167700,"NetBanking"),</v>
      </c>
      <c r="N451" s="2"/>
      <c r="P451" s="4"/>
    </row>
    <row r="452" spans="1:16" x14ac:dyDescent="0.3">
      <c r="A452" s="2" t="s">
        <v>1017</v>
      </c>
      <c r="B452" s="5" t="s">
        <v>1747</v>
      </c>
      <c r="C452" s="2" t="s">
        <v>73</v>
      </c>
      <c r="D452" s="2" t="s">
        <v>348</v>
      </c>
      <c r="E452" s="2">
        <v>2</v>
      </c>
      <c r="F452" s="2">
        <v>14582</v>
      </c>
      <c r="G452" s="2" t="s">
        <v>563</v>
      </c>
      <c r="H452" s="2" t="str">
        <f t="shared" si="7"/>
        <v>("ORD-00451","2025-07-04","FAS-FOO-072","CX-110",2,14582,"Cash"),</v>
      </c>
      <c r="N452" s="2"/>
      <c r="P452" s="4"/>
    </row>
    <row r="453" spans="1:16" x14ac:dyDescent="0.3">
      <c r="A453" s="2" t="s">
        <v>1018</v>
      </c>
      <c r="B453" s="5" t="s">
        <v>1694</v>
      </c>
      <c r="C453" s="2" t="s">
        <v>155</v>
      </c>
      <c r="D453" s="2" t="s">
        <v>523</v>
      </c>
      <c r="E453" s="2">
        <v>3</v>
      </c>
      <c r="F453" s="2">
        <v>111873</v>
      </c>
      <c r="G453" s="2" t="s">
        <v>572</v>
      </c>
      <c r="H453" s="2" t="str">
        <f t="shared" si="7"/>
        <v>("ORD-00452","2025-04-05","SPO-ACC-154","CX-018",3,111873,"Card"),</v>
      </c>
      <c r="N453" s="2"/>
      <c r="P453" s="4"/>
    </row>
    <row r="454" spans="1:16" x14ac:dyDescent="0.3">
      <c r="A454" s="2" t="s">
        <v>1019</v>
      </c>
      <c r="B454" s="5" t="s">
        <v>1680</v>
      </c>
      <c r="C454" s="2" t="s">
        <v>152</v>
      </c>
      <c r="D454" s="2" t="s">
        <v>376</v>
      </c>
      <c r="E454" s="2">
        <v>5</v>
      </c>
      <c r="F454" s="2">
        <v>233705</v>
      </c>
      <c r="G454" s="2" t="s">
        <v>567</v>
      </c>
      <c r="H454" s="2" t="str">
        <f t="shared" si="7"/>
        <v>("ORD-00453","2025-11-25","SPO-ACC-151","CX-096",5,233705,"Wallet"),</v>
      </c>
      <c r="N454" s="2"/>
      <c r="P454" s="4"/>
    </row>
    <row r="455" spans="1:16" x14ac:dyDescent="0.3">
      <c r="A455" s="2" t="s">
        <v>1020</v>
      </c>
      <c r="B455" s="5" t="s">
        <v>1710</v>
      </c>
      <c r="C455" s="2" t="s">
        <v>199</v>
      </c>
      <c r="D455" s="2" t="s">
        <v>412</v>
      </c>
      <c r="E455" s="2">
        <v>5</v>
      </c>
      <c r="F455" s="2">
        <v>291590</v>
      </c>
      <c r="G455" s="2" t="s">
        <v>570</v>
      </c>
      <c r="H455" s="2" t="str">
        <f t="shared" si="7"/>
        <v>("ORD-00454","2025-07-25","BEA-FRA-198","CX-078",5,291590,"UPI"),</v>
      </c>
      <c r="N455" s="2"/>
      <c r="P455" s="4"/>
    </row>
    <row r="456" spans="1:16" x14ac:dyDescent="0.3">
      <c r="A456" s="2" t="s">
        <v>1021</v>
      </c>
      <c r="B456" s="5" t="s">
        <v>1826</v>
      </c>
      <c r="C456" s="2" t="s">
        <v>152</v>
      </c>
      <c r="D456" s="2" t="s">
        <v>342</v>
      </c>
      <c r="E456" s="2">
        <v>4</v>
      </c>
      <c r="F456" s="2">
        <v>186964</v>
      </c>
      <c r="G456" s="2" t="s">
        <v>572</v>
      </c>
      <c r="H456" s="2" t="str">
        <f t="shared" si="7"/>
        <v>("ORD-00455","2025-10-07","SPO-ACC-151","CX-112",4,186964,"Card"),</v>
      </c>
      <c r="N456" s="2"/>
      <c r="P456" s="4"/>
    </row>
    <row r="457" spans="1:16" x14ac:dyDescent="0.3">
      <c r="A457" s="2" t="s">
        <v>1022</v>
      </c>
      <c r="B457" s="5" t="s">
        <v>1817</v>
      </c>
      <c r="C457" s="2" t="s">
        <v>4</v>
      </c>
      <c r="D457" s="2" t="s">
        <v>523</v>
      </c>
      <c r="E457" s="2">
        <v>1</v>
      </c>
      <c r="F457" s="2">
        <v>19860</v>
      </c>
      <c r="G457" s="2" t="s">
        <v>565</v>
      </c>
      <c r="H457" s="2" t="str">
        <f t="shared" si="7"/>
        <v>("ORD-00456","2025-10-15","ELE-MOB-003","CX-018",1,19860,"NetBanking"),</v>
      </c>
      <c r="N457" s="2"/>
      <c r="P457" s="4"/>
    </row>
    <row r="458" spans="1:16" x14ac:dyDescent="0.3">
      <c r="A458" s="2" t="s">
        <v>1023</v>
      </c>
      <c r="B458" s="5" t="s">
        <v>1791</v>
      </c>
      <c r="C458" s="2" t="s">
        <v>99</v>
      </c>
      <c r="D458" s="2" t="s">
        <v>529</v>
      </c>
      <c r="E458" s="2">
        <v>1</v>
      </c>
      <c r="F458" s="2">
        <v>33206</v>
      </c>
      <c r="G458" s="2" t="s">
        <v>565</v>
      </c>
      <c r="H458" s="2" t="str">
        <f t="shared" si="7"/>
        <v>("ORD-00457","2025-02-10","HOM-DEC-098","CX-015",1,33206,"NetBanking"),</v>
      </c>
      <c r="N458" s="2"/>
      <c r="P458" s="4"/>
    </row>
    <row r="459" spans="1:16" x14ac:dyDescent="0.3">
      <c r="A459" s="2" t="s">
        <v>1024</v>
      </c>
      <c r="B459" s="5" t="s">
        <v>1721</v>
      </c>
      <c r="C459" s="2" t="s">
        <v>183</v>
      </c>
      <c r="D459" s="2" t="s">
        <v>551</v>
      </c>
      <c r="E459" s="2">
        <v>4</v>
      </c>
      <c r="F459" s="2">
        <v>150956</v>
      </c>
      <c r="G459" s="2" t="s">
        <v>570</v>
      </c>
      <c r="H459" s="2" t="str">
        <f t="shared" si="7"/>
        <v>("ORD-00458","2025-06-13","BEA-MAK-182","CX-003",4,150956,"UPI"),</v>
      </c>
      <c r="N459" s="2"/>
      <c r="P459" s="4"/>
    </row>
    <row r="460" spans="1:16" x14ac:dyDescent="0.3">
      <c r="A460" s="2" t="s">
        <v>1025</v>
      </c>
      <c r="B460" s="5" t="s">
        <v>1732</v>
      </c>
      <c r="C460" s="2" t="s">
        <v>184</v>
      </c>
      <c r="D460" s="2" t="s">
        <v>393</v>
      </c>
      <c r="E460" s="2">
        <v>2</v>
      </c>
      <c r="F460" s="2">
        <v>12168</v>
      </c>
      <c r="G460" s="2" t="s">
        <v>567</v>
      </c>
      <c r="H460" s="2" t="str">
        <f t="shared" si="7"/>
        <v>("ORD-00459","2025-06-29","BEA-MAK-183","CX-088",2,12168,"Wallet"),</v>
      </c>
      <c r="N460" s="2"/>
      <c r="P460" s="4"/>
    </row>
    <row r="461" spans="1:16" x14ac:dyDescent="0.3">
      <c r="A461" s="2" t="s">
        <v>1026</v>
      </c>
      <c r="B461" s="5" t="s">
        <v>1797</v>
      </c>
      <c r="C461" s="2" t="s">
        <v>167</v>
      </c>
      <c r="D461" s="2" t="s">
        <v>437</v>
      </c>
      <c r="E461" s="2">
        <v>3</v>
      </c>
      <c r="F461" s="2">
        <v>101691</v>
      </c>
      <c r="G461" s="2" t="s">
        <v>570</v>
      </c>
      <c r="H461" s="2" t="str">
        <f t="shared" si="7"/>
        <v>("ORD-00460","2025-06-30","BEA-SKI-166","CX-064",3,101691,"UPI"),</v>
      </c>
      <c r="N461" s="2"/>
      <c r="P461" s="4"/>
    </row>
    <row r="462" spans="1:16" x14ac:dyDescent="0.3">
      <c r="A462" s="2" t="s">
        <v>1027</v>
      </c>
      <c r="B462" s="5" t="s">
        <v>1694</v>
      </c>
      <c r="C462" s="2" t="s">
        <v>91</v>
      </c>
      <c r="D462" s="2" t="s">
        <v>393</v>
      </c>
      <c r="E462" s="2">
        <v>3</v>
      </c>
      <c r="F462" s="2">
        <v>90984</v>
      </c>
      <c r="G462" s="2" t="s">
        <v>572</v>
      </c>
      <c r="H462" s="2" t="str">
        <f t="shared" si="7"/>
        <v>("ORD-00461","2025-04-05","HOM-KIT-090","CX-088",3,90984,"Card"),</v>
      </c>
      <c r="N462" s="2"/>
      <c r="P462" s="4"/>
    </row>
    <row r="463" spans="1:16" x14ac:dyDescent="0.3">
      <c r="A463" s="2" t="s">
        <v>1028</v>
      </c>
      <c r="B463" s="5" t="s">
        <v>1827</v>
      </c>
      <c r="C463" s="2" t="s">
        <v>15</v>
      </c>
      <c r="D463" s="2" t="s">
        <v>497</v>
      </c>
      <c r="E463" s="2">
        <v>3</v>
      </c>
      <c r="F463" s="2">
        <v>122898</v>
      </c>
      <c r="G463" s="2" t="s">
        <v>572</v>
      </c>
      <c r="H463" s="2" t="str">
        <f t="shared" si="7"/>
        <v>("ORD-00462","2025-07-19","ELE-LAP-014","CX-032",3,122898,"Card"),</v>
      </c>
      <c r="N463" s="2"/>
      <c r="P463" s="4"/>
    </row>
    <row r="464" spans="1:16" x14ac:dyDescent="0.3">
      <c r="A464" s="2" t="s">
        <v>1029</v>
      </c>
      <c r="B464" s="5" t="s">
        <v>1778</v>
      </c>
      <c r="C464" s="2" t="s">
        <v>57</v>
      </c>
      <c r="D464" s="2" t="s">
        <v>462</v>
      </c>
      <c r="E464" s="2">
        <v>3</v>
      </c>
      <c r="F464" s="2">
        <v>65106</v>
      </c>
      <c r="G464" s="2" t="s">
        <v>563</v>
      </c>
      <c r="H464" s="2" t="str">
        <f t="shared" si="7"/>
        <v>("ORD-00463","2025-09-01","FAS-WOM-056","CX-051",3,65106,"Cash"),</v>
      </c>
      <c r="N464" s="2"/>
      <c r="P464" s="4"/>
    </row>
    <row r="465" spans="1:16" x14ac:dyDescent="0.3">
      <c r="A465" s="2" t="s">
        <v>1030</v>
      </c>
      <c r="B465" s="5" t="s">
        <v>1597</v>
      </c>
      <c r="C465" s="2" t="s">
        <v>66</v>
      </c>
      <c r="D465" s="2" t="s">
        <v>378</v>
      </c>
      <c r="E465" s="2">
        <v>3</v>
      </c>
      <c r="F465" s="2">
        <v>39006</v>
      </c>
      <c r="G465" s="2" t="s">
        <v>565</v>
      </c>
      <c r="H465" s="2" t="str">
        <f t="shared" si="7"/>
        <v>("ORD-00464","2025-05-17","FAS-KID-065","CX-095",3,39006,"NetBanking"),</v>
      </c>
      <c r="N465" s="2"/>
      <c r="P465" s="4"/>
    </row>
    <row r="466" spans="1:16" x14ac:dyDescent="0.3">
      <c r="A466" s="2" t="s">
        <v>1031</v>
      </c>
      <c r="B466" s="5" t="s">
        <v>1622</v>
      </c>
      <c r="C466" s="2" t="s">
        <v>38</v>
      </c>
      <c r="D466" s="2" t="s">
        <v>358</v>
      </c>
      <c r="E466" s="2">
        <v>1</v>
      </c>
      <c r="F466" s="2">
        <v>11162</v>
      </c>
      <c r="G466" s="2" t="s">
        <v>563</v>
      </c>
      <c r="H466" s="2" t="str">
        <f t="shared" si="7"/>
        <v>("ORD-00465","2025-06-26","ELE-CAM-037","CX-105",1,11162,"Cash"),</v>
      </c>
      <c r="N466" s="2"/>
      <c r="P466" s="4"/>
    </row>
    <row r="467" spans="1:16" x14ac:dyDescent="0.3">
      <c r="A467" s="2" t="s">
        <v>1032</v>
      </c>
      <c r="B467" s="5" t="s">
        <v>1687</v>
      </c>
      <c r="C467" s="2" t="s">
        <v>92</v>
      </c>
      <c r="D467" s="2" t="s">
        <v>420</v>
      </c>
      <c r="E467" s="2">
        <v>5</v>
      </c>
      <c r="F467" s="2">
        <v>126990</v>
      </c>
      <c r="G467" s="2" t="s">
        <v>570</v>
      </c>
      <c r="H467" s="2" t="str">
        <f t="shared" si="7"/>
        <v>("ORD-00466","2024-12-25","HOM-DEC-091","CX-074",5,126990,"UPI"),</v>
      </c>
      <c r="N467" s="2"/>
      <c r="P467" s="4"/>
    </row>
    <row r="468" spans="1:16" x14ac:dyDescent="0.3">
      <c r="A468" s="2" t="s">
        <v>1033</v>
      </c>
      <c r="B468" s="5" t="s">
        <v>1574</v>
      </c>
      <c r="C468" s="2" t="s">
        <v>174</v>
      </c>
      <c r="D468" s="2" t="s">
        <v>549</v>
      </c>
      <c r="E468" s="2">
        <v>3</v>
      </c>
      <c r="F468" s="2">
        <v>117009</v>
      </c>
      <c r="G468" s="2" t="s">
        <v>565</v>
      </c>
      <c r="H468" s="2" t="str">
        <f t="shared" si="7"/>
        <v>("ORD-00467","2024-12-22","BEA-HAI-173","CX-004",3,117009,"NetBanking"),</v>
      </c>
      <c r="N468" s="2"/>
      <c r="P468" s="4"/>
    </row>
    <row r="469" spans="1:16" x14ac:dyDescent="0.3">
      <c r="A469" s="2" t="s">
        <v>1034</v>
      </c>
      <c r="B469" s="5" t="s">
        <v>1581</v>
      </c>
      <c r="C469" s="2" t="s">
        <v>96</v>
      </c>
      <c r="D469" s="2" t="s">
        <v>403</v>
      </c>
      <c r="E469" s="2">
        <v>1</v>
      </c>
      <c r="F469" s="2">
        <v>16148</v>
      </c>
      <c r="G469" s="2" t="s">
        <v>570</v>
      </c>
      <c r="H469" s="2" t="str">
        <f t="shared" si="7"/>
        <v>("ORD-00468","2025-07-28","HOM-DEC-095","CX-083",1,16148,"UPI"),</v>
      </c>
      <c r="N469" s="2"/>
      <c r="P469" s="4"/>
    </row>
    <row r="470" spans="1:16" x14ac:dyDescent="0.3">
      <c r="A470" s="2" t="s">
        <v>1035</v>
      </c>
      <c r="B470" s="5" t="s">
        <v>1828</v>
      </c>
      <c r="C470" s="2" t="s">
        <v>188</v>
      </c>
      <c r="D470" s="2" t="s">
        <v>395</v>
      </c>
      <c r="E470" s="2">
        <v>3</v>
      </c>
      <c r="F470" s="2">
        <v>103557</v>
      </c>
      <c r="G470" s="2" t="s">
        <v>570</v>
      </c>
      <c r="H470" s="2" t="str">
        <f t="shared" si="7"/>
        <v>("ORD-00469","2025-06-27","BEA-MAK-187","CX-087",3,103557,"UPI"),</v>
      </c>
      <c r="N470" s="2"/>
      <c r="P470" s="4"/>
    </row>
    <row r="471" spans="1:16" x14ac:dyDescent="0.3">
      <c r="A471" s="2" t="s">
        <v>1036</v>
      </c>
      <c r="B471" s="5" t="s">
        <v>1705</v>
      </c>
      <c r="C471" s="2" t="s">
        <v>21</v>
      </c>
      <c r="D471" s="2" t="s">
        <v>456</v>
      </c>
      <c r="E471" s="2">
        <v>4</v>
      </c>
      <c r="F471" s="2">
        <v>48020</v>
      </c>
      <c r="G471" s="2" t="s">
        <v>570</v>
      </c>
      <c r="H471" s="2" t="str">
        <f t="shared" si="7"/>
        <v>("ORD-00470","2025-10-03","ELE-LAP-020","CX-054",4,48020,"UPI"),</v>
      </c>
      <c r="N471" s="2"/>
      <c r="P471" s="4"/>
    </row>
    <row r="472" spans="1:16" x14ac:dyDescent="0.3">
      <c r="A472" s="2" t="s">
        <v>1037</v>
      </c>
      <c r="B472" s="5" t="s">
        <v>1761</v>
      </c>
      <c r="C472" s="2" t="s">
        <v>73</v>
      </c>
      <c r="D472" s="2" t="s">
        <v>337</v>
      </c>
      <c r="E472" s="2">
        <v>5</v>
      </c>
      <c r="F472" s="2">
        <v>36455</v>
      </c>
      <c r="G472" s="2" t="s">
        <v>572</v>
      </c>
      <c r="H472" s="2" t="str">
        <f t="shared" si="7"/>
        <v>("ORD-00471","2024-12-09","FAS-FOO-072","CX-114",5,36455,"Card"),</v>
      </c>
      <c r="N472" s="2"/>
      <c r="P472" s="4"/>
    </row>
    <row r="473" spans="1:16" x14ac:dyDescent="0.3">
      <c r="A473" s="2" t="s">
        <v>1038</v>
      </c>
      <c r="B473" s="5" t="s">
        <v>1655</v>
      </c>
      <c r="C473" s="2" t="s">
        <v>66</v>
      </c>
      <c r="D473" s="2" t="s">
        <v>431</v>
      </c>
      <c r="E473" s="2">
        <v>3</v>
      </c>
      <c r="F473" s="2">
        <v>39006</v>
      </c>
      <c r="G473" s="2" t="s">
        <v>570</v>
      </c>
      <c r="H473" s="2" t="str">
        <f t="shared" si="7"/>
        <v>("ORD-00472","2025-01-03","FAS-KID-065","CX-068",3,39006,"UPI"),</v>
      </c>
      <c r="N473" s="2"/>
      <c r="P473" s="4"/>
    </row>
    <row r="474" spans="1:16" x14ac:dyDescent="0.3">
      <c r="A474" s="2" t="s">
        <v>1039</v>
      </c>
      <c r="B474" s="5" t="s">
        <v>1664</v>
      </c>
      <c r="C474" s="2" t="s">
        <v>162</v>
      </c>
      <c r="D474" s="2" t="s">
        <v>403</v>
      </c>
      <c r="E474" s="2">
        <v>5</v>
      </c>
      <c r="F474" s="2">
        <v>109270</v>
      </c>
      <c r="G474" s="2" t="s">
        <v>567</v>
      </c>
      <c r="H474" s="2" t="str">
        <f t="shared" si="7"/>
        <v>("ORD-00473","2025-07-08","BEA-SKI-161","CX-083",5,109270,"Wallet"),</v>
      </c>
      <c r="N474" s="2"/>
      <c r="P474" s="4"/>
    </row>
    <row r="475" spans="1:16" x14ac:dyDescent="0.3">
      <c r="A475" s="2" t="s">
        <v>1040</v>
      </c>
      <c r="B475" s="5" t="s">
        <v>1590</v>
      </c>
      <c r="C475" s="2" t="s">
        <v>47</v>
      </c>
      <c r="D475" s="2" t="s">
        <v>523</v>
      </c>
      <c r="E475" s="2">
        <v>5</v>
      </c>
      <c r="F475" s="2">
        <v>67810</v>
      </c>
      <c r="G475" s="2" t="s">
        <v>572</v>
      </c>
      <c r="H475" s="2" t="str">
        <f t="shared" si="7"/>
        <v>("ORD-00474","2025-02-12","FAS-MEN-046","CX-018",5,67810,"Card"),</v>
      </c>
      <c r="N475" s="2"/>
      <c r="P475" s="4"/>
    </row>
    <row r="476" spans="1:16" x14ac:dyDescent="0.3">
      <c r="A476" s="2" t="s">
        <v>1041</v>
      </c>
      <c r="B476" s="5" t="s">
        <v>1634</v>
      </c>
      <c r="C476" s="2" t="s">
        <v>60</v>
      </c>
      <c r="D476" s="2" t="s">
        <v>344</v>
      </c>
      <c r="E476" s="2">
        <v>5</v>
      </c>
      <c r="F476" s="2">
        <v>172645</v>
      </c>
      <c r="G476" s="2" t="s">
        <v>563</v>
      </c>
      <c r="H476" s="2" t="str">
        <f t="shared" si="7"/>
        <v>("ORD-00475","2025-01-12","FAS-WOM-059","CX-111",5,172645,"Cash"),</v>
      </c>
      <c r="N476" s="2"/>
      <c r="P476" s="4"/>
    </row>
    <row r="477" spans="1:16" x14ac:dyDescent="0.3">
      <c r="A477" s="2" t="s">
        <v>1042</v>
      </c>
      <c r="B477" s="5" t="s">
        <v>1717</v>
      </c>
      <c r="C477" s="2" t="s">
        <v>173</v>
      </c>
      <c r="D477" s="2" t="s">
        <v>452</v>
      </c>
      <c r="E477" s="2">
        <v>1</v>
      </c>
      <c r="F477" s="2">
        <v>27917</v>
      </c>
      <c r="G477" s="2" t="s">
        <v>563</v>
      </c>
      <c r="H477" s="2" t="str">
        <f t="shared" si="7"/>
        <v>("ORD-00476","2025-07-15","BEA-HAI-172","CX-056",1,27917,"Cash"),</v>
      </c>
      <c r="N477" s="2"/>
      <c r="P477" s="4"/>
    </row>
    <row r="478" spans="1:16" x14ac:dyDescent="0.3">
      <c r="A478" s="2" t="s">
        <v>1043</v>
      </c>
      <c r="B478" s="5" t="s">
        <v>1829</v>
      </c>
      <c r="C478" s="2" t="s">
        <v>65</v>
      </c>
      <c r="D478" s="2" t="s">
        <v>405</v>
      </c>
      <c r="E478" s="2">
        <v>3</v>
      </c>
      <c r="F478" s="2">
        <v>21330</v>
      </c>
      <c r="G478" s="2" t="s">
        <v>565</v>
      </c>
      <c r="H478" s="2" t="str">
        <f t="shared" si="7"/>
        <v>("ORD-00477","2025-11-08","FAS-KID-064","CX-082",3,21330,"NetBanking"),</v>
      </c>
      <c r="N478" s="2"/>
      <c r="P478" s="4"/>
    </row>
    <row r="479" spans="1:16" x14ac:dyDescent="0.3">
      <c r="A479" s="2" t="s">
        <v>1044</v>
      </c>
      <c r="B479" s="5" t="s">
        <v>1830</v>
      </c>
      <c r="C479" s="2" t="s">
        <v>45</v>
      </c>
      <c r="D479" s="2" t="s">
        <v>407</v>
      </c>
      <c r="E479" s="2">
        <v>4</v>
      </c>
      <c r="F479" s="2">
        <v>194476</v>
      </c>
      <c r="G479" s="2" t="s">
        <v>565</v>
      </c>
      <c r="H479" s="2" t="str">
        <f t="shared" si="7"/>
        <v>("ORD-00478","2025-11-22","FAS-MEN-044","CX-081",4,194476,"NetBanking"),</v>
      </c>
      <c r="N479" s="2"/>
      <c r="P479" s="4"/>
    </row>
    <row r="480" spans="1:16" x14ac:dyDescent="0.3">
      <c r="A480" s="2" t="s">
        <v>1045</v>
      </c>
      <c r="B480" s="5" t="s">
        <v>1788</v>
      </c>
      <c r="C480" s="2" t="s">
        <v>167</v>
      </c>
      <c r="D480" s="2" t="s">
        <v>322</v>
      </c>
      <c r="E480" s="2">
        <v>1</v>
      </c>
      <c r="F480" s="2">
        <v>33897</v>
      </c>
      <c r="G480" s="2" t="s">
        <v>563</v>
      </c>
      <c r="H480" s="2" t="str">
        <f t="shared" si="7"/>
        <v>("ORD-00479","2025-05-21","BEA-SKI-166","CX-119",1,33897,"Cash"),</v>
      </c>
      <c r="N480" s="2"/>
      <c r="P480" s="4"/>
    </row>
    <row r="481" spans="1:16" x14ac:dyDescent="0.3">
      <c r="A481" s="2" t="s">
        <v>1046</v>
      </c>
      <c r="B481" s="5" t="s">
        <v>1633</v>
      </c>
      <c r="C481" s="2" t="s">
        <v>78</v>
      </c>
      <c r="D481" s="2" t="s">
        <v>555</v>
      </c>
      <c r="E481" s="2">
        <v>5</v>
      </c>
      <c r="F481" s="2">
        <v>262225</v>
      </c>
      <c r="G481" s="2" t="s">
        <v>570</v>
      </c>
      <c r="H481" s="2" t="str">
        <f t="shared" si="7"/>
        <v>("ORD-00480","2025-02-17","FAS-FOO-077","CX-001",5,262225,"UPI"),</v>
      </c>
      <c r="N481" s="2"/>
      <c r="P481" s="4"/>
    </row>
    <row r="482" spans="1:16" x14ac:dyDescent="0.3">
      <c r="A482" s="2" t="s">
        <v>1047</v>
      </c>
      <c r="B482" s="5" t="s">
        <v>1831</v>
      </c>
      <c r="C482" s="2" t="s">
        <v>32</v>
      </c>
      <c r="D482" s="2" t="s">
        <v>518</v>
      </c>
      <c r="E482" s="2">
        <v>1</v>
      </c>
      <c r="F482" s="2">
        <v>19241</v>
      </c>
      <c r="G482" s="2" t="s">
        <v>570</v>
      </c>
      <c r="H482" s="2" t="str">
        <f t="shared" si="7"/>
        <v>("ORD-00481","2025-05-06","ELE-CAM-031","CX-021",1,19241,"UPI"),</v>
      </c>
      <c r="N482" s="2"/>
      <c r="P482" s="4"/>
    </row>
    <row r="483" spans="1:16" x14ac:dyDescent="0.3">
      <c r="A483" s="2" t="s">
        <v>1048</v>
      </c>
      <c r="B483" s="5" t="s">
        <v>1832</v>
      </c>
      <c r="C483" s="2" t="s">
        <v>135</v>
      </c>
      <c r="D483" s="2" t="s">
        <v>318</v>
      </c>
      <c r="E483" s="2">
        <v>1</v>
      </c>
      <c r="F483" s="2">
        <v>59464</v>
      </c>
      <c r="G483" s="2" t="s">
        <v>567</v>
      </c>
      <c r="H483" s="2" t="str">
        <f t="shared" si="7"/>
        <v>("ORD-00482","2025-04-10","SPO-OUT-134","CX-120",1,59464,"Wallet"),</v>
      </c>
      <c r="N483" s="2"/>
      <c r="P483" s="4"/>
    </row>
    <row r="484" spans="1:16" x14ac:dyDescent="0.3">
      <c r="A484" s="2" t="s">
        <v>1049</v>
      </c>
      <c r="B484" s="5" t="s">
        <v>1611</v>
      </c>
      <c r="C484" s="2" t="s">
        <v>81</v>
      </c>
      <c r="D484" s="2" t="s">
        <v>481</v>
      </c>
      <c r="E484" s="2">
        <v>2</v>
      </c>
      <c r="F484" s="2">
        <v>6138</v>
      </c>
      <c r="G484" s="2" t="s">
        <v>565</v>
      </c>
      <c r="H484" s="2" t="str">
        <f t="shared" si="7"/>
        <v>("ORD-00483","2025-02-18","FAS-FOO-080","CX-041",2,6138,"NetBanking"),</v>
      </c>
      <c r="N484" s="2"/>
      <c r="P484" s="4"/>
    </row>
    <row r="485" spans="1:16" x14ac:dyDescent="0.3">
      <c r="A485" s="2" t="s">
        <v>1050</v>
      </c>
      <c r="B485" s="5" t="s">
        <v>1745</v>
      </c>
      <c r="C485" s="2" t="s">
        <v>78</v>
      </c>
      <c r="D485" s="2" t="s">
        <v>364</v>
      </c>
      <c r="E485" s="2">
        <v>2</v>
      </c>
      <c r="F485" s="2">
        <v>104890</v>
      </c>
      <c r="G485" s="2" t="s">
        <v>572</v>
      </c>
      <c r="H485" s="2" t="str">
        <f t="shared" si="7"/>
        <v>("ORD-00484","2025-07-31","FAS-FOO-077","CX-102",2,104890,"Card"),</v>
      </c>
      <c r="N485" s="2"/>
      <c r="P485" s="4"/>
    </row>
    <row r="486" spans="1:16" x14ac:dyDescent="0.3">
      <c r="A486" s="2" t="s">
        <v>1051</v>
      </c>
      <c r="B486" s="5" t="s">
        <v>1746</v>
      </c>
      <c r="C486" s="2" t="s">
        <v>21</v>
      </c>
      <c r="D486" s="2" t="s">
        <v>493</v>
      </c>
      <c r="E486" s="2">
        <v>5</v>
      </c>
      <c r="F486" s="2">
        <v>60025</v>
      </c>
      <c r="G486" s="2" t="s">
        <v>572</v>
      </c>
      <c r="H486" s="2" t="str">
        <f t="shared" si="7"/>
        <v>("ORD-00485","2025-05-19","ELE-LAP-020","CX-034",5,60025,"Card"),</v>
      </c>
      <c r="N486" s="2"/>
      <c r="P486" s="4"/>
    </row>
    <row r="487" spans="1:16" x14ac:dyDescent="0.3">
      <c r="A487" s="2" t="s">
        <v>1052</v>
      </c>
      <c r="B487" s="5" t="s">
        <v>1609</v>
      </c>
      <c r="C487" s="2" t="s">
        <v>121</v>
      </c>
      <c r="D487" s="2" t="s">
        <v>335</v>
      </c>
      <c r="E487" s="2">
        <v>5</v>
      </c>
      <c r="F487" s="2">
        <v>262760</v>
      </c>
      <c r="G487" s="2" t="s">
        <v>565</v>
      </c>
      <c r="H487" s="2" t="str">
        <f t="shared" si="7"/>
        <v>("ORD-00486","2025-10-06","HOM-FUR-120","CX-115",5,262760,"NetBanking"),</v>
      </c>
      <c r="N487" s="2"/>
      <c r="P487" s="4"/>
    </row>
    <row r="488" spans="1:16" x14ac:dyDescent="0.3">
      <c r="A488" s="2" t="s">
        <v>1053</v>
      </c>
      <c r="B488" s="5" t="s">
        <v>1588</v>
      </c>
      <c r="C488" s="2" t="s">
        <v>201</v>
      </c>
      <c r="D488" s="2" t="s">
        <v>412</v>
      </c>
      <c r="E488" s="2">
        <v>5</v>
      </c>
      <c r="F488" s="2">
        <v>43810</v>
      </c>
      <c r="G488" s="2" t="s">
        <v>567</v>
      </c>
      <c r="H488" s="2" t="str">
        <f t="shared" si="7"/>
        <v>("ORD-00487","2025-08-21","BEA-FRA-200","CX-078",5,43810,"Wallet"),</v>
      </c>
      <c r="N488" s="2"/>
      <c r="P488" s="4"/>
    </row>
    <row r="489" spans="1:16" x14ac:dyDescent="0.3">
      <c r="A489" s="2" t="s">
        <v>1054</v>
      </c>
      <c r="B489" s="5" t="s">
        <v>1710</v>
      </c>
      <c r="C489" s="2" t="s">
        <v>68</v>
      </c>
      <c r="D489" s="2" t="s">
        <v>439</v>
      </c>
      <c r="E489" s="2">
        <v>2</v>
      </c>
      <c r="F489" s="2">
        <v>113550</v>
      </c>
      <c r="G489" s="2" t="s">
        <v>570</v>
      </c>
      <c r="H489" s="2" t="str">
        <f t="shared" si="7"/>
        <v>("ORD-00488","2025-07-25","FAS-KID-067","CX-063",2,113550,"UPI"),</v>
      </c>
      <c r="N489" s="2"/>
      <c r="P489" s="4"/>
    </row>
    <row r="490" spans="1:16" x14ac:dyDescent="0.3">
      <c r="A490" s="2" t="s">
        <v>1055</v>
      </c>
      <c r="B490" s="5" t="s">
        <v>1715</v>
      </c>
      <c r="C490" s="2" t="s">
        <v>26</v>
      </c>
      <c r="D490" s="2" t="s">
        <v>541</v>
      </c>
      <c r="E490" s="2">
        <v>5</v>
      </c>
      <c r="F490" s="2">
        <v>145890</v>
      </c>
      <c r="G490" s="2" t="s">
        <v>565</v>
      </c>
      <c r="H490" s="2" t="str">
        <f t="shared" si="7"/>
        <v>("ORD-00489","2025-08-27","ELE-ACC-025","CX-009",5,145890,"NetBanking"),</v>
      </c>
      <c r="N490" s="2"/>
      <c r="P490" s="4"/>
    </row>
    <row r="491" spans="1:16" x14ac:dyDescent="0.3">
      <c r="A491" s="2" t="s">
        <v>1056</v>
      </c>
      <c r="B491" s="5" t="s">
        <v>1666</v>
      </c>
      <c r="C491" s="2" t="s">
        <v>32</v>
      </c>
      <c r="D491" s="2" t="s">
        <v>541</v>
      </c>
      <c r="E491" s="2">
        <v>2</v>
      </c>
      <c r="F491" s="2">
        <v>38482</v>
      </c>
      <c r="G491" s="2" t="s">
        <v>563</v>
      </c>
      <c r="H491" s="2" t="str">
        <f t="shared" si="7"/>
        <v>("ORD-00490","2025-02-23","ELE-CAM-031","CX-009",2,38482,"Cash"),</v>
      </c>
      <c r="N491" s="2"/>
      <c r="P491" s="4"/>
    </row>
    <row r="492" spans="1:16" x14ac:dyDescent="0.3">
      <c r="A492" s="2" t="s">
        <v>1057</v>
      </c>
      <c r="B492" s="5" t="s">
        <v>1794</v>
      </c>
      <c r="C492" s="2" t="s">
        <v>81</v>
      </c>
      <c r="D492" s="2" t="s">
        <v>513</v>
      </c>
      <c r="E492" s="2">
        <v>5</v>
      </c>
      <c r="F492" s="2">
        <v>15345</v>
      </c>
      <c r="G492" s="2" t="s">
        <v>563</v>
      </c>
      <c r="H492" s="2" t="str">
        <f t="shared" si="7"/>
        <v>("ORD-00491","2025-01-29","FAS-FOO-080","CX-024",5,15345,"Cash"),</v>
      </c>
      <c r="N492" s="2"/>
      <c r="P492" s="4"/>
    </row>
    <row r="493" spans="1:16" x14ac:dyDescent="0.3">
      <c r="A493" s="2" t="s">
        <v>1058</v>
      </c>
      <c r="B493" s="5" t="s">
        <v>1833</v>
      </c>
      <c r="C493" s="2" t="s">
        <v>81</v>
      </c>
      <c r="D493" s="2" t="s">
        <v>489</v>
      </c>
      <c r="E493" s="2">
        <v>4</v>
      </c>
      <c r="F493" s="2">
        <v>12276</v>
      </c>
      <c r="G493" s="2" t="s">
        <v>570</v>
      </c>
      <c r="H493" s="2" t="str">
        <f t="shared" si="7"/>
        <v>("ORD-00492","2025-11-13","FAS-FOO-080","CX-036",4,12276,"UPI"),</v>
      </c>
      <c r="N493" s="2"/>
      <c r="P493" s="4"/>
    </row>
    <row r="494" spans="1:16" x14ac:dyDescent="0.3">
      <c r="A494" s="2" t="s">
        <v>1059</v>
      </c>
      <c r="B494" s="5" t="s">
        <v>1825</v>
      </c>
      <c r="C494" s="2" t="s">
        <v>30</v>
      </c>
      <c r="D494" s="2" t="s">
        <v>424</v>
      </c>
      <c r="E494" s="2">
        <v>5</v>
      </c>
      <c r="F494" s="2">
        <v>15285</v>
      </c>
      <c r="G494" s="2" t="s">
        <v>567</v>
      </c>
      <c r="H494" s="2" t="str">
        <f t="shared" si="7"/>
        <v>("ORD-00493","2025-09-23","ELE-ACC-029","CX-072",5,15285,"Wallet"),</v>
      </c>
      <c r="N494" s="2"/>
      <c r="P494" s="4"/>
    </row>
    <row r="495" spans="1:16" x14ac:dyDescent="0.3">
      <c r="A495" s="2" t="s">
        <v>1060</v>
      </c>
      <c r="B495" s="5" t="s">
        <v>1771</v>
      </c>
      <c r="C495" s="2" t="s">
        <v>171</v>
      </c>
      <c r="D495" s="2" t="s">
        <v>542</v>
      </c>
      <c r="E495" s="2">
        <v>2</v>
      </c>
      <c r="F495" s="2">
        <v>41714</v>
      </c>
      <c r="G495" s="2" t="s">
        <v>570</v>
      </c>
      <c r="H495" s="2" t="str">
        <f t="shared" si="7"/>
        <v>("ORD-00494","2025-11-07","BEA-SKI-170","CX-008",2,41714,"UPI"),</v>
      </c>
      <c r="N495" s="2"/>
      <c r="P495" s="4"/>
    </row>
    <row r="496" spans="1:16" x14ac:dyDescent="0.3">
      <c r="A496" s="2" t="s">
        <v>1061</v>
      </c>
      <c r="B496" s="5" t="s">
        <v>1596</v>
      </c>
      <c r="C496" s="2" t="s">
        <v>75</v>
      </c>
      <c r="D496" s="2" t="s">
        <v>487</v>
      </c>
      <c r="E496" s="2">
        <v>4</v>
      </c>
      <c r="F496" s="2">
        <v>45480</v>
      </c>
      <c r="G496" s="2" t="s">
        <v>570</v>
      </c>
      <c r="H496" s="2" t="str">
        <f t="shared" si="7"/>
        <v>("ORD-00495","2025-09-11","FAS-FOO-074","CX-037",4,45480,"UPI"),</v>
      </c>
      <c r="N496" s="2"/>
      <c r="P496" s="4"/>
    </row>
    <row r="497" spans="1:16" x14ac:dyDescent="0.3">
      <c r="A497" s="2" t="s">
        <v>1062</v>
      </c>
      <c r="B497" s="5" t="s">
        <v>1788</v>
      </c>
      <c r="C497" s="2" t="s">
        <v>125</v>
      </c>
      <c r="D497" s="2" t="s">
        <v>335</v>
      </c>
      <c r="E497" s="2">
        <v>3</v>
      </c>
      <c r="F497" s="2">
        <v>35499</v>
      </c>
      <c r="G497" s="2" t="s">
        <v>565</v>
      </c>
      <c r="H497" s="2" t="str">
        <f t="shared" si="7"/>
        <v>("ORD-00496","2025-05-21","SPO-FIT-124","CX-115",3,35499,"NetBanking"),</v>
      </c>
      <c r="N497" s="2"/>
      <c r="P497" s="4"/>
    </row>
    <row r="498" spans="1:16" x14ac:dyDescent="0.3">
      <c r="A498" s="2" t="s">
        <v>1063</v>
      </c>
      <c r="B498" s="5" t="s">
        <v>1683</v>
      </c>
      <c r="C498" s="2" t="s">
        <v>94</v>
      </c>
      <c r="D498" s="2" t="s">
        <v>507</v>
      </c>
      <c r="E498" s="2">
        <v>3</v>
      </c>
      <c r="F498" s="2">
        <v>87804</v>
      </c>
      <c r="G498" s="2" t="s">
        <v>565</v>
      </c>
      <c r="H498" s="2" t="str">
        <f t="shared" si="7"/>
        <v>("ORD-00497","2025-08-04","HOM-DEC-093","CX-027",3,87804,"NetBanking"),</v>
      </c>
      <c r="N498" s="2"/>
      <c r="P498" s="4"/>
    </row>
    <row r="499" spans="1:16" x14ac:dyDescent="0.3">
      <c r="A499" s="2" t="s">
        <v>1064</v>
      </c>
      <c r="B499" s="5" t="s">
        <v>1742</v>
      </c>
      <c r="C499" s="2" t="s">
        <v>124</v>
      </c>
      <c r="D499" s="2" t="s">
        <v>469</v>
      </c>
      <c r="E499" s="2">
        <v>1</v>
      </c>
      <c r="F499" s="2">
        <v>51396</v>
      </c>
      <c r="G499" s="2" t="s">
        <v>565</v>
      </c>
      <c r="H499" s="2" t="str">
        <f t="shared" si="7"/>
        <v>("ORD-00498","2025-03-27","SPO-FIT-123","CX-047",1,51396,"NetBanking"),</v>
      </c>
      <c r="N499" s="2"/>
      <c r="P499" s="4"/>
    </row>
    <row r="500" spans="1:16" x14ac:dyDescent="0.3">
      <c r="A500" s="2" t="s">
        <v>1065</v>
      </c>
      <c r="B500" s="5" t="s">
        <v>1821</v>
      </c>
      <c r="C500" s="2" t="s">
        <v>6</v>
      </c>
      <c r="D500" s="2" t="s">
        <v>544</v>
      </c>
      <c r="E500" s="2">
        <v>4</v>
      </c>
      <c r="F500" s="2">
        <v>65252</v>
      </c>
      <c r="G500" s="2" t="s">
        <v>570</v>
      </c>
      <c r="H500" s="2" t="str">
        <f t="shared" si="7"/>
        <v>("ORD-00499","2025-08-17","ELE-MOB-005","CX-007",4,65252,"UPI"),</v>
      </c>
      <c r="N500" s="2"/>
      <c r="P500" s="4"/>
    </row>
    <row r="501" spans="1:16" x14ac:dyDescent="0.3">
      <c r="A501" s="2" t="s">
        <v>1066</v>
      </c>
      <c r="B501" s="5" t="s">
        <v>1661</v>
      </c>
      <c r="C501" s="2" t="s">
        <v>125</v>
      </c>
      <c r="D501" s="2" t="s">
        <v>426</v>
      </c>
      <c r="E501" s="2">
        <v>1</v>
      </c>
      <c r="F501" s="2">
        <v>11833</v>
      </c>
      <c r="G501" s="2" t="s">
        <v>563</v>
      </c>
      <c r="H501" s="2" t="str">
        <f t="shared" si="7"/>
        <v>("ORD-00500","2025-05-30","SPO-FIT-124","CX-071",1,11833,"Cash"),</v>
      </c>
      <c r="N501" s="2"/>
      <c r="P501" s="4"/>
    </row>
    <row r="502" spans="1:16" x14ac:dyDescent="0.3">
      <c r="A502" s="2" t="s">
        <v>1067</v>
      </c>
      <c r="B502" s="5" t="s">
        <v>1651</v>
      </c>
      <c r="C502" s="2" t="s">
        <v>107</v>
      </c>
      <c r="D502" s="2" t="s">
        <v>424</v>
      </c>
      <c r="E502" s="2">
        <v>5</v>
      </c>
      <c r="F502" s="2">
        <v>53700</v>
      </c>
      <c r="G502" s="2" t="s">
        <v>570</v>
      </c>
      <c r="H502" s="2" t="str">
        <f t="shared" si="7"/>
        <v>("ORD-00501","2025-09-05","HOM-APP-106","CX-072",5,53700,"UPI"),</v>
      </c>
      <c r="N502" s="2"/>
      <c r="P502" s="4"/>
    </row>
    <row r="503" spans="1:16" x14ac:dyDescent="0.3">
      <c r="A503" s="2" t="s">
        <v>1068</v>
      </c>
      <c r="B503" s="5" t="s">
        <v>1834</v>
      </c>
      <c r="C503" s="2" t="s">
        <v>7</v>
      </c>
      <c r="D503" s="2" t="s">
        <v>397</v>
      </c>
      <c r="E503" s="2">
        <v>2</v>
      </c>
      <c r="F503" s="2">
        <v>100756</v>
      </c>
      <c r="G503" s="2" t="s">
        <v>567</v>
      </c>
      <c r="H503" s="2" t="str">
        <f t="shared" si="7"/>
        <v>("ORD-00502","2025-05-22","ELE-MOB-006","CX-086",2,100756,"Wallet"),</v>
      </c>
      <c r="N503" s="2"/>
      <c r="P503" s="4"/>
    </row>
    <row r="504" spans="1:16" x14ac:dyDescent="0.3">
      <c r="A504" s="2" t="s">
        <v>1069</v>
      </c>
      <c r="B504" s="5" t="s">
        <v>1815</v>
      </c>
      <c r="C504" s="2" t="s">
        <v>110</v>
      </c>
      <c r="D504" s="2" t="s">
        <v>517</v>
      </c>
      <c r="E504" s="2">
        <v>2</v>
      </c>
      <c r="F504" s="2">
        <v>62228</v>
      </c>
      <c r="G504" s="2" t="s">
        <v>572</v>
      </c>
      <c r="H504" s="2" t="str">
        <f t="shared" si="7"/>
        <v>("ORD-00503","2025-08-03","HOM-APP-109","CX-022",2,62228,"Card"),</v>
      </c>
      <c r="N504" s="2"/>
      <c r="P504" s="4"/>
    </row>
    <row r="505" spans="1:16" x14ac:dyDescent="0.3">
      <c r="A505" s="2" t="s">
        <v>1070</v>
      </c>
      <c r="B505" s="5" t="s">
        <v>1583</v>
      </c>
      <c r="C505" s="2" t="s">
        <v>179</v>
      </c>
      <c r="D505" s="2" t="s">
        <v>418</v>
      </c>
      <c r="E505" s="2">
        <v>5</v>
      </c>
      <c r="F505" s="2">
        <v>175280</v>
      </c>
      <c r="G505" s="2" t="s">
        <v>570</v>
      </c>
      <c r="H505" s="2" t="str">
        <f t="shared" si="7"/>
        <v>("ORD-00504","2025-08-28","BEA-HAI-178","CX-075",5,175280,"UPI"),</v>
      </c>
      <c r="N505" s="2"/>
      <c r="P505" s="4"/>
    </row>
    <row r="506" spans="1:16" x14ac:dyDescent="0.3">
      <c r="A506" s="2" t="s">
        <v>1071</v>
      </c>
      <c r="B506" s="5" t="s">
        <v>1798</v>
      </c>
      <c r="C506" s="2" t="s">
        <v>12</v>
      </c>
      <c r="D506" s="2" t="s">
        <v>503</v>
      </c>
      <c r="E506" s="2">
        <v>1</v>
      </c>
      <c r="F506" s="2">
        <v>43645</v>
      </c>
      <c r="G506" s="2" t="s">
        <v>565</v>
      </c>
      <c r="H506" s="2" t="str">
        <f t="shared" si="7"/>
        <v>("ORD-00505","2025-01-10","ELE-LAP-011","CX-029",1,43645,"NetBanking"),</v>
      </c>
      <c r="N506" s="2"/>
      <c r="P506" s="4"/>
    </row>
    <row r="507" spans="1:16" x14ac:dyDescent="0.3">
      <c r="A507" s="2" t="s">
        <v>1072</v>
      </c>
      <c r="B507" s="5" t="s">
        <v>1757</v>
      </c>
      <c r="C507" s="2" t="s">
        <v>8</v>
      </c>
      <c r="D507" s="2" t="s">
        <v>342</v>
      </c>
      <c r="E507" s="2">
        <v>1</v>
      </c>
      <c r="F507" s="2">
        <v>54427</v>
      </c>
      <c r="G507" s="2" t="s">
        <v>563</v>
      </c>
      <c r="H507" s="2" t="str">
        <f t="shared" si="7"/>
        <v>("ORD-00506","2025-06-25","ELE-MOB-007","CX-112",1,54427,"Cash"),</v>
      </c>
      <c r="N507" s="2"/>
      <c r="P507" s="4"/>
    </row>
    <row r="508" spans="1:16" x14ac:dyDescent="0.3">
      <c r="A508" s="2" t="s">
        <v>1073</v>
      </c>
      <c r="B508" s="5" t="s">
        <v>1736</v>
      </c>
      <c r="C508" s="2" t="s">
        <v>169</v>
      </c>
      <c r="D508" s="2" t="s">
        <v>358</v>
      </c>
      <c r="E508" s="2">
        <v>3</v>
      </c>
      <c r="F508" s="2">
        <v>40740</v>
      </c>
      <c r="G508" s="2" t="s">
        <v>563</v>
      </c>
      <c r="H508" s="2" t="str">
        <f t="shared" si="7"/>
        <v>("ORD-00507","2025-06-17","BEA-SKI-168","CX-105",3,40740,"Cash"),</v>
      </c>
      <c r="N508" s="2"/>
      <c r="P508" s="4"/>
    </row>
    <row r="509" spans="1:16" x14ac:dyDescent="0.3">
      <c r="A509" s="2" t="s">
        <v>1074</v>
      </c>
      <c r="B509" s="5" t="s">
        <v>1835</v>
      </c>
      <c r="C509" s="2" t="s">
        <v>63</v>
      </c>
      <c r="D509" s="2" t="s">
        <v>551</v>
      </c>
      <c r="E509" s="2">
        <v>2</v>
      </c>
      <c r="F509" s="2">
        <v>89284</v>
      </c>
      <c r="G509" s="2" t="s">
        <v>567</v>
      </c>
      <c r="H509" s="2" t="str">
        <f t="shared" si="7"/>
        <v>("ORD-00508","2025-07-06","FAS-KID-062","CX-003",2,89284,"Wallet"),</v>
      </c>
      <c r="N509" s="2"/>
      <c r="P509" s="4"/>
    </row>
    <row r="510" spans="1:16" x14ac:dyDescent="0.3">
      <c r="A510" s="2" t="s">
        <v>1075</v>
      </c>
      <c r="B510" s="5" t="s">
        <v>1665</v>
      </c>
      <c r="C510" s="2" t="s">
        <v>83</v>
      </c>
      <c r="D510" s="2" t="s">
        <v>395</v>
      </c>
      <c r="E510" s="2">
        <v>5</v>
      </c>
      <c r="F510" s="2">
        <v>133590</v>
      </c>
      <c r="G510" s="2" t="s">
        <v>570</v>
      </c>
      <c r="H510" s="2" t="str">
        <f t="shared" si="7"/>
        <v>("ORD-00509","2025-03-08","HOM-KIT-082","CX-087",5,133590,"UPI"),</v>
      </c>
      <c r="N510" s="2"/>
      <c r="P510" s="4"/>
    </row>
    <row r="511" spans="1:16" x14ac:dyDescent="0.3">
      <c r="A511" s="2" t="s">
        <v>1076</v>
      </c>
      <c r="B511" s="5" t="s">
        <v>1836</v>
      </c>
      <c r="C511" s="2" t="s">
        <v>172</v>
      </c>
      <c r="D511" s="2" t="s">
        <v>318</v>
      </c>
      <c r="E511" s="2">
        <v>2</v>
      </c>
      <c r="F511" s="2">
        <v>116266</v>
      </c>
      <c r="G511" s="2" t="s">
        <v>563</v>
      </c>
      <c r="H511" s="2" t="str">
        <f t="shared" si="7"/>
        <v>("ORD-00510","2025-06-24","BEA-HAI-171","CX-120",2,116266,"Cash"),</v>
      </c>
      <c r="N511" s="2"/>
      <c r="P511" s="4"/>
    </row>
    <row r="512" spans="1:16" x14ac:dyDescent="0.3">
      <c r="A512" s="2" t="s">
        <v>1077</v>
      </c>
      <c r="B512" s="5" t="s">
        <v>1837</v>
      </c>
      <c r="C512" s="2" t="s">
        <v>25</v>
      </c>
      <c r="D512" s="2" t="s">
        <v>389</v>
      </c>
      <c r="E512" s="2">
        <v>3</v>
      </c>
      <c r="F512" s="2">
        <v>20925</v>
      </c>
      <c r="G512" s="2" t="s">
        <v>570</v>
      </c>
      <c r="H512" s="2" t="str">
        <f t="shared" si="7"/>
        <v>("ORD-00511","2025-03-26","ELE-ACC-024","CX-090",3,20925,"UPI"),</v>
      </c>
      <c r="N512" s="2"/>
      <c r="P512" s="4"/>
    </row>
    <row r="513" spans="1:16" x14ac:dyDescent="0.3">
      <c r="A513" s="2" t="s">
        <v>1078</v>
      </c>
      <c r="B513" s="5" t="s">
        <v>1838</v>
      </c>
      <c r="C513" s="2" t="s">
        <v>24</v>
      </c>
      <c r="D513" s="2" t="s">
        <v>331</v>
      </c>
      <c r="E513" s="2">
        <v>2</v>
      </c>
      <c r="F513" s="2">
        <v>81218</v>
      </c>
      <c r="G513" s="2" t="s">
        <v>565</v>
      </c>
      <c r="H513" s="2" t="str">
        <f t="shared" si="7"/>
        <v>("ORD-00512","2025-02-24","ELE-ACC-023","CX-116",2,81218,"NetBanking"),</v>
      </c>
      <c r="N513" s="2"/>
      <c r="P513" s="4"/>
    </row>
    <row r="514" spans="1:16" x14ac:dyDescent="0.3">
      <c r="A514" s="2" t="s">
        <v>1079</v>
      </c>
      <c r="B514" s="5" t="s">
        <v>1586</v>
      </c>
      <c r="C514" s="2" t="s">
        <v>159</v>
      </c>
      <c r="D514" s="2" t="s">
        <v>475</v>
      </c>
      <c r="E514" s="2">
        <v>2</v>
      </c>
      <c r="F514" s="2">
        <v>68852</v>
      </c>
      <c r="G514" s="2" t="s">
        <v>572</v>
      </c>
      <c r="H514" s="2" t="str">
        <f t="shared" si="7"/>
        <v>("ORD-00513","2025-07-02","SPO-ACC-158","CX-044",2,68852,"Card"),</v>
      </c>
      <c r="N514" s="2"/>
      <c r="P514" s="4"/>
    </row>
    <row r="515" spans="1:16" x14ac:dyDescent="0.3">
      <c r="A515" s="2" t="s">
        <v>1080</v>
      </c>
      <c r="B515" s="5" t="s">
        <v>1839</v>
      </c>
      <c r="C515" s="2" t="s">
        <v>82</v>
      </c>
      <c r="D515" s="2" t="s">
        <v>515</v>
      </c>
      <c r="E515" s="2">
        <v>3</v>
      </c>
      <c r="F515" s="2">
        <v>60609</v>
      </c>
      <c r="G515" s="2" t="s">
        <v>563</v>
      </c>
      <c r="H515" s="2" t="str">
        <f t="shared" ref="H515:H578" si="8">"("""&amp;A515&amp;""","""&amp;B515&amp;""","""&amp;C515&amp;""","""&amp;D515&amp;""","&amp;E515&amp;","&amp;F515&amp;","""&amp;G515&amp;"""),"</f>
        <v>("ORD-00514","2025-05-03","HOM-KIT-081","CX-023",3,60609,"Cash"),</v>
      </c>
      <c r="N515" s="2"/>
      <c r="P515" s="4"/>
    </row>
    <row r="516" spans="1:16" x14ac:dyDescent="0.3">
      <c r="A516" s="2" t="s">
        <v>1081</v>
      </c>
      <c r="B516" s="5" t="s">
        <v>1840</v>
      </c>
      <c r="C516" s="2" t="s">
        <v>201</v>
      </c>
      <c r="D516" s="2" t="s">
        <v>546</v>
      </c>
      <c r="E516" s="2">
        <v>1</v>
      </c>
      <c r="F516" s="2">
        <v>8762</v>
      </c>
      <c r="G516" s="2" t="s">
        <v>567</v>
      </c>
      <c r="H516" s="2" t="str">
        <f t="shared" si="8"/>
        <v>("ORD-00515","2024-12-12","BEA-FRA-200","CX-006",1,8762,"Wallet"),</v>
      </c>
      <c r="N516" s="2"/>
      <c r="P516" s="4"/>
    </row>
    <row r="517" spans="1:16" x14ac:dyDescent="0.3">
      <c r="A517" s="2" t="s">
        <v>1082</v>
      </c>
      <c r="B517" s="5" t="s">
        <v>1776</v>
      </c>
      <c r="C517" s="2" t="s">
        <v>48</v>
      </c>
      <c r="D517" s="2" t="s">
        <v>337</v>
      </c>
      <c r="E517" s="2">
        <v>2</v>
      </c>
      <c r="F517" s="2">
        <v>95070</v>
      </c>
      <c r="G517" s="2" t="s">
        <v>572</v>
      </c>
      <c r="H517" s="2" t="str">
        <f t="shared" si="8"/>
        <v>("ORD-00516","2024-12-27","FAS-MEN-047","CX-114",2,95070,"Card"),</v>
      </c>
      <c r="N517" s="2"/>
      <c r="P517" s="4"/>
    </row>
    <row r="518" spans="1:16" x14ac:dyDescent="0.3">
      <c r="A518" s="2" t="s">
        <v>1083</v>
      </c>
      <c r="B518" s="5" t="s">
        <v>1841</v>
      </c>
      <c r="C518" s="2" t="s">
        <v>172</v>
      </c>
      <c r="D518" s="2" t="s">
        <v>374</v>
      </c>
      <c r="E518" s="2">
        <v>5</v>
      </c>
      <c r="F518" s="2">
        <v>290665</v>
      </c>
      <c r="G518" s="2" t="s">
        <v>572</v>
      </c>
      <c r="H518" s="2" t="str">
        <f t="shared" si="8"/>
        <v>("ORD-00517","2024-12-14","BEA-HAI-171","CX-097",5,290665,"Card"),</v>
      </c>
      <c r="N518" s="2"/>
      <c r="P518" s="4"/>
    </row>
    <row r="519" spans="1:16" x14ac:dyDescent="0.3">
      <c r="A519" s="2" t="s">
        <v>1084</v>
      </c>
      <c r="B519" s="5" t="s">
        <v>1701</v>
      </c>
      <c r="C519" s="2" t="s">
        <v>109</v>
      </c>
      <c r="D519" s="2" t="s">
        <v>489</v>
      </c>
      <c r="E519" s="2">
        <v>2</v>
      </c>
      <c r="F519" s="2">
        <v>37924</v>
      </c>
      <c r="G519" s="2" t="s">
        <v>572</v>
      </c>
      <c r="H519" s="2" t="str">
        <f t="shared" si="8"/>
        <v>("ORD-00518","2025-06-11","HOM-APP-108","CX-036",2,37924,"Card"),</v>
      </c>
      <c r="N519" s="2"/>
      <c r="P519" s="4"/>
    </row>
    <row r="520" spans="1:16" x14ac:dyDescent="0.3">
      <c r="A520" s="2" t="s">
        <v>1085</v>
      </c>
      <c r="B520" s="5" t="s">
        <v>1624</v>
      </c>
      <c r="C520" s="2" t="s">
        <v>38</v>
      </c>
      <c r="D520" s="2" t="s">
        <v>414</v>
      </c>
      <c r="E520" s="2">
        <v>5</v>
      </c>
      <c r="F520" s="2">
        <v>55810</v>
      </c>
      <c r="G520" s="2" t="s">
        <v>570</v>
      </c>
      <c r="H520" s="2" t="str">
        <f t="shared" si="8"/>
        <v>("ORD-00519","2025-10-08","ELE-CAM-037","CX-077",5,55810,"UPI"),</v>
      </c>
      <c r="N520" s="2"/>
      <c r="P520" s="4"/>
    </row>
    <row r="521" spans="1:16" x14ac:dyDescent="0.3">
      <c r="A521" s="2" t="s">
        <v>1086</v>
      </c>
      <c r="B521" s="5" t="s">
        <v>1593</v>
      </c>
      <c r="C521" s="2" t="s">
        <v>119</v>
      </c>
      <c r="D521" s="2" t="s">
        <v>331</v>
      </c>
      <c r="E521" s="2">
        <v>1</v>
      </c>
      <c r="F521" s="2">
        <v>9792</v>
      </c>
      <c r="G521" s="2" t="s">
        <v>563</v>
      </c>
      <c r="H521" s="2" t="str">
        <f t="shared" si="8"/>
        <v>("ORD-00520","2025-07-26","HOM-FUR-118","CX-116",1,9792,"Cash"),</v>
      </c>
      <c r="N521" s="2"/>
      <c r="P521" s="4"/>
    </row>
    <row r="522" spans="1:16" x14ac:dyDescent="0.3">
      <c r="A522" s="2" t="s">
        <v>1087</v>
      </c>
      <c r="B522" s="5" t="s">
        <v>1792</v>
      </c>
      <c r="C522" s="2" t="s">
        <v>71</v>
      </c>
      <c r="D522" s="2" t="s">
        <v>445</v>
      </c>
      <c r="E522" s="2">
        <v>2</v>
      </c>
      <c r="F522" s="2">
        <v>19638</v>
      </c>
      <c r="G522" s="2" t="s">
        <v>563</v>
      </c>
      <c r="H522" s="2" t="str">
        <f t="shared" si="8"/>
        <v>("ORD-00521","2025-06-20","FAS-KID-070","CX-060",2,19638,"Cash"),</v>
      </c>
      <c r="N522" s="2"/>
      <c r="P522" s="4"/>
    </row>
    <row r="523" spans="1:16" x14ac:dyDescent="0.3">
      <c r="A523" s="2" t="s">
        <v>1088</v>
      </c>
      <c r="B523" s="5" t="s">
        <v>1787</v>
      </c>
      <c r="C523" s="2" t="s">
        <v>78</v>
      </c>
      <c r="D523" s="2" t="s">
        <v>397</v>
      </c>
      <c r="E523" s="2">
        <v>5</v>
      </c>
      <c r="F523" s="2">
        <v>262225</v>
      </c>
      <c r="G523" s="2" t="s">
        <v>570</v>
      </c>
      <c r="H523" s="2" t="str">
        <f t="shared" si="8"/>
        <v>("ORD-00522","2025-10-23","FAS-FOO-077","CX-086",5,262225,"UPI"),</v>
      </c>
      <c r="N523" s="2"/>
      <c r="P523" s="4"/>
    </row>
    <row r="524" spans="1:16" x14ac:dyDescent="0.3">
      <c r="A524" s="2" t="s">
        <v>1089</v>
      </c>
      <c r="B524" s="5" t="s">
        <v>1842</v>
      </c>
      <c r="C524" s="2" t="s">
        <v>189</v>
      </c>
      <c r="D524" s="2" t="s">
        <v>374</v>
      </c>
      <c r="E524" s="2">
        <v>2</v>
      </c>
      <c r="F524" s="2">
        <v>31004</v>
      </c>
      <c r="G524" s="2" t="s">
        <v>567</v>
      </c>
      <c r="H524" s="2" t="str">
        <f t="shared" si="8"/>
        <v>("ORD-00523","2025-08-11","BEA-MAK-188","CX-097",2,31004,"Wallet"),</v>
      </c>
      <c r="N524" s="2"/>
      <c r="P524" s="4"/>
    </row>
    <row r="525" spans="1:16" x14ac:dyDescent="0.3">
      <c r="A525" s="2" t="s">
        <v>1090</v>
      </c>
      <c r="B525" s="5" t="s">
        <v>1843</v>
      </c>
      <c r="C525" s="2" t="s">
        <v>70</v>
      </c>
      <c r="D525" s="2" t="s">
        <v>541</v>
      </c>
      <c r="E525" s="2">
        <v>3</v>
      </c>
      <c r="F525" s="2">
        <v>31254</v>
      </c>
      <c r="G525" s="2" t="s">
        <v>572</v>
      </c>
      <c r="H525" s="2" t="str">
        <f t="shared" si="8"/>
        <v>("ORD-00524","2025-05-05","FAS-KID-069","CX-009",3,31254,"Card"),</v>
      </c>
      <c r="N525" s="2"/>
      <c r="P525" s="4"/>
    </row>
    <row r="526" spans="1:16" x14ac:dyDescent="0.3">
      <c r="A526" s="2" t="s">
        <v>1091</v>
      </c>
      <c r="B526" s="5" t="s">
        <v>1732</v>
      </c>
      <c r="C526" s="2" t="s">
        <v>74</v>
      </c>
      <c r="D526" s="2" t="s">
        <v>503</v>
      </c>
      <c r="E526" s="2">
        <v>4</v>
      </c>
      <c r="F526" s="2">
        <v>19964</v>
      </c>
      <c r="G526" s="2" t="s">
        <v>567</v>
      </c>
      <c r="H526" s="2" t="str">
        <f t="shared" si="8"/>
        <v>("ORD-00525","2025-06-29","FAS-FOO-073","CX-029",4,19964,"Wallet"),</v>
      </c>
      <c r="N526" s="2"/>
      <c r="P526" s="4"/>
    </row>
    <row r="527" spans="1:16" x14ac:dyDescent="0.3">
      <c r="A527" s="2" t="s">
        <v>1092</v>
      </c>
      <c r="B527" s="5" t="s">
        <v>1690</v>
      </c>
      <c r="C527" s="2" t="s">
        <v>185</v>
      </c>
      <c r="D527" s="2" t="s">
        <v>391</v>
      </c>
      <c r="E527" s="2">
        <v>3</v>
      </c>
      <c r="F527" s="2">
        <v>55356</v>
      </c>
      <c r="G527" s="2" t="s">
        <v>570</v>
      </c>
      <c r="H527" s="2" t="str">
        <f t="shared" si="8"/>
        <v>("ORD-00526","2025-10-13","BEA-MAK-184","CX-089",3,55356,"UPI"),</v>
      </c>
      <c r="N527" s="2"/>
      <c r="P527" s="4"/>
    </row>
    <row r="528" spans="1:16" x14ac:dyDescent="0.3">
      <c r="A528" s="2" t="s">
        <v>1093</v>
      </c>
      <c r="B528" s="5" t="s">
        <v>1805</v>
      </c>
      <c r="C528" s="2" t="s">
        <v>10</v>
      </c>
      <c r="D528" s="2" t="s">
        <v>517</v>
      </c>
      <c r="E528" s="2">
        <v>4</v>
      </c>
      <c r="F528" s="2">
        <v>211612</v>
      </c>
      <c r="G528" s="2" t="s">
        <v>563</v>
      </c>
      <c r="H528" s="2" t="str">
        <f t="shared" si="8"/>
        <v>("ORD-00527","2025-07-22","ELE-MOB-009","CX-022",4,211612,"Cash"),</v>
      </c>
      <c r="N528" s="2"/>
      <c r="P528" s="4"/>
    </row>
    <row r="529" spans="1:16" x14ac:dyDescent="0.3">
      <c r="A529" s="2" t="s">
        <v>1094</v>
      </c>
      <c r="B529" s="5" t="s">
        <v>1592</v>
      </c>
      <c r="C529" s="2" t="s">
        <v>142</v>
      </c>
      <c r="D529" s="2" t="s">
        <v>456</v>
      </c>
      <c r="E529" s="2">
        <v>2</v>
      </c>
      <c r="F529" s="2">
        <v>71808</v>
      </c>
      <c r="G529" s="2" t="s">
        <v>570</v>
      </c>
      <c r="H529" s="2" t="str">
        <f t="shared" si="8"/>
        <v>("ORD-00528","2025-04-16","SPO-IND-141","CX-054",2,71808,"UPI"),</v>
      </c>
      <c r="N529" s="2"/>
      <c r="P529" s="4"/>
    </row>
    <row r="530" spans="1:16" x14ac:dyDescent="0.3">
      <c r="A530" s="2" t="s">
        <v>1095</v>
      </c>
      <c r="B530" s="5" t="s">
        <v>1756</v>
      </c>
      <c r="C530" s="2" t="s">
        <v>166</v>
      </c>
      <c r="D530" s="2" t="s">
        <v>335</v>
      </c>
      <c r="E530" s="2">
        <v>2</v>
      </c>
      <c r="F530" s="2">
        <v>79284</v>
      </c>
      <c r="G530" s="2" t="s">
        <v>572</v>
      </c>
      <c r="H530" s="2" t="str">
        <f t="shared" si="8"/>
        <v>("ORD-00529","2025-04-04","BEA-SKI-165","CX-115",2,79284,"Card"),</v>
      </c>
      <c r="N530" s="2"/>
      <c r="P530" s="4"/>
    </row>
    <row r="531" spans="1:16" x14ac:dyDescent="0.3">
      <c r="A531" s="2" t="s">
        <v>1096</v>
      </c>
      <c r="B531" s="5" t="s">
        <v>1665</v>
      </c>
      <c r="C531" s="2" t="s">
        <v>132</v>
      </c>
      <c r="D531" s="2" t="s">
        <v>407</v>
      </c>
      <c r="E531" s="2">
        <v>1</v>
      </c>
      <c r="F531" s="2">
        <v>57530</v>
      </c>
      <c r="G531" s="2" t="s">
        <v>567</v>
      </c>
      <c r="H531" s="2" t="str">
        <f t="shared" si="8"/>
        <v>("ORD-00530","2025-03-08","SPO-OUT-131","CX-081",1,57530,"Wallet"),</v>
      </c>
      <c r="N531" s="2"/>
      <c r="P531" s="4"/>
    </row>
    <row r="532" spans="1:16" x14ac:dyDescent="0.3">
      <c r="A532" s="2" t="s">
        <v>1097</v>
      </c>
      <c r="B532" s="5" t="s">
        <v>1681</v>
      </c>
      <c r="C532" s="2" t="s">
        <v>61</v>
      </c>
      <c r="D532" s="2" t="s">
        <v>529</v>
      </c>
      <c r="E532" s="2">
        <v>3</v>
      </c>
      <c r="F532" s="2">
        <v>152640</v>
      </c>
      <c r="G532" s="2" t="s">
        <v>563</v>
      </c>
      <c r="H532" s="2" t="str">
        <f t="shared" si="8"/>
        <v>("ORD-00531","2025-11-12","FAS-WOM-060","CX-015",3,152640,"Cash"),</v>
      </c>
      <c r="N532" s="2"/>
      <c r="P532" s="4"/>
    </row>
    <row r="533" spans="1:16" x14ac:dyDescent="0.3">
      <c r="A533" s="2" t="s">
        <v>1098</v>
      </c>
      <c r="B533" s="5" t="s">
        <v>1640</v>
      </c>
      <c r="C533" s="2" t="s">
        <v>137</v>
      </c>
      <c r="D533" s="2" t="s">
        <v>527</v>
      </c>
      <c r="E533" s="2">
        <v>1</v>
      </c>
      <c r="F533" s="2">
        <v>18891</v>
      </c>
      <c r="G533" s="2" t="s">
        <v>572</v>
      </c>
      <c r="H533" s="2" t="str">
        <f t="shared" si="8"/>
        <v>("ORD-00532","2025-04-21","SPO-OUT-136","CX-016",1,18891,"Card"),</v>
      </c>
      <c r="N533" s="2"/>
      <c r="P533" s="4"/>
    </row>
    <row r="534" spans="1:16" x14ac:dyDescent="0.3">
      <c r="A534" s="2" t="s">
        <v>1099</v>
      </c>
      <c r="B534" s="5" t="s">
        <v>1589</v>
      </c>
      <c r="C534" s="2" t="s">
        <v>123</v>
      </c>
      <c r="D534" s="2" t="s">
        <v>324</v>
      </c>
      <c r="E534" s="2">
        <v>4</v>
      </c>
      <c r="F534" s="2">
        <v>147748</v>
      </c>
      <c r="G534" s="2" t="s">
        <v>567</v>
      </c>
      <c r="H534" s="2" t="str">
        <f t="shared" si="8"/>
        <v>("ORD-00533","2025-01-23","SPO-FIT-122","CX-118",4,147748,"Wallet"),</v>
      </c>
      <c r="N534" s="2"/>
      <c r="P534" s="4"/>
    </row>
    <row r="535" spans="1:16" x14ac:dyDescent="0.3">
      <c r="A535" s="2" t="s">
        <v>1100</v>
      </c>
      <c r="B535" s="5" t="s">
        <v>1844</v>
      </c>
      <c r="C535" s="2" t="s">
        <v>121</v>
      </c>
      <c r="D535" s="2" t="s">
        <v>427</v>
      </c>
      <c r="E535" s="2">
        <v>5</v>
      </c>
      <c r="F535" s="2">
        <v>262760</v>
      </c>
      <c r="G535" s="2" t="s">
        <v>565</v>
      </c>
      <c r="H535" s="2" t="str">
        <f t="shared" si="8"/>
        <v>("ORD-00534","2025-09-22","HOM-FUR-120","CX-070",5,262760,"NetBanking"),</v>
      </c>
      <c r="N535" s="2"/>
      <c r="P535" s="4"/>
    </row>
    <row r="536" spans="1:16" x14ac:dyDescent="0.3">
      <c r="A536" s="2" t="s">
        <v>1101</v>
      </c>
      <c r="B536" s="5" t="s">
        <v>1755</v>
      </c>
      <c r="C536" s="2" t="s">
        <v>81</v>
      </c>
      <c r="D536" s="2" t="s">
        <v>467</v>
      </c>
      <c r="E536" s="2">
        <v>1</v>
      </c>
      <c r="F536" s="2">
        <v>3069</v>
      </c>
      <c r="G536" s="2" t="s">
        <v>567</v>
      </c>
      <c r="H536" s="2" t="str">
        <f t="shared" si="8"/>
        <v>("ORD-00535","2025-09-04","FAS-FOO-080","CX-048",1,3069,"Wallet"),</v>
      </c>
      <c r="N536" s="2"/>
      <c r="P536" s="4"/>
    </row>
    <row r="537" spans="1:16" x14ac:dyDescent="0.3">
      <c r="A537" s="2" t="s">
        <v>1102</v>
      </c>
      <c r="B537" s="5" t="s">
        <v>1622</v>
      </c>
      <c r="C537" s="2" t="s">
        <v>68</v>
      </c>
      <c r="D537" s="2" t="s">
        <v>393</v>
      </c>
      <c r="E537" s="2">
        <v>4</v>
      </c>
      <c r="F537" s="2">
        <v>227100</v>
      </c>
      <c r="G537" s="2" t="s">
        <v>572</v>
      </c>
      <c r="H537" s="2" t="str">
        <f t="shared" si="8"/>
        <v>("ORD-00536","2025-06-26","FAS-KID-067","CX-088",4,227100,"Card"),</v>
      </c>
      <c r="N537" s="2"/>
      <c r="P537" s="4"/>
    </row>
    <row r="538" spans="1:16" x14ac:dyDescent="0.3">
      <c r="A538" s="2" t="s">
        <v>1103</v>
      </c>
      <c r="B538" s="5" t="s">
        <v>1788</v>
      </c>
      <c r="C538" s="2" t="s">
        <v>107</v>
      </c>
      <c r="D538" s="2" t="s">
        <v>420</v>
      </c>
      <c r="E538" s="2">
        <v>3</v>
      </c>
      <c r="F538" s="2">
        <v>32220</v>
      </c>
      <c r="G538" s="2" t="s">
        <v>563</v>
      </c>
      <c r="H538" s="2" t="str">
        <f t="shared" si="8"/>
        <v>("ORD-00537","2025-05-21","HOM-APP-106","CX-074",3,32220,"Cash"),</v>
      </c>
      <c r="N538" s="2"/>
      <c r="P538" s="4"/>
    </row>
    <row r="539" spans="1:16" x14ac:dyDescent="0.3">
      <c r="A539" s="2" t="s">
        <v>1104</v>
      </c>
      <c r="B539" s="5" t="s">
        <v>1603</v>
      </c>
      <c r="C539" s="2" t="s">
        <v>117</v>
      </c>
      <c r="D539" s="2" t="s">
        <v>418</v>
      </c>
      <c r="E539" s="2">
        <v>5</v>
      </c>
      <c r="F539" s="2">
        <v>283935</v>
      </c>
      <c r="G539" s="2" t="s">
        <v>563</v>
      </c>
      <c r="H539" s="2" t="str">
        <f t="shared" si="8"/>
        <v>("ORD-00538","2025-09-03","HOM-FUR-116","CX-075",5,283935,"Cash"),</v>
      </c>
      <c r="N539" s="2"/>
      <c r="P539" s="4"/>
    </row>
    <row r="540" spans="1:16" x14ac:dyDescent="0.3">
      <c r="A540" s="2" t="s">
        <v>1105</v>
      </c>
      <c r="B540" s="5" t="s">
        <v>1744</v>
      </c>
      <c r="C540" s="2" t="s">
        <v>26</v>
      </c>
      <c r="D540" s="2" t="s">
        <v>354</v>
      </c>
      <c r="E540" s="2">
        <v>1</v>
      </c>
      <c r="F540" s="2">
        <v>29178</v>
      </c>
      <c r="G540" s="2" t="s">
        <v>567</v>
      </c>
      <c r="H540" s="2" t="str">
        <f t="shared" si="8"/>
        <v>("ORD-00539","2025-11-27","ELE-ACC-025","CX-107",1,29178,"Wallet"),</v>
      </c>
      <c r="N540" s="2"/>
      <c r="P540" s="4"/>
    </row>
    <row r="541" spans="1:16" x14ac:dyDescent="0.3">
      <c r="A541" s="2" t="s">
        <v>1106</v>
      </c>
      <c r="B541" s="5" t="s">
        <v>1665</v>
      </c>
      <c r="C541" s="2" t="s">
        <v>8</v>
      </c>
      <c r="D541" s="2" t="s">
        <v>547</v>
      </c>
      <c r="E541" s="2">
        <v>5</v>
      </c>
      <c r="F541" s="2">
        <v>272135</v>
      </c>
      <c r="G541" s="2" t="s">
        <v>567</v>
      </c>
      <c r="H541" s="2" t="str">
        <f t="shared" si="8"/>
        <v>("ORD-00540","2025-03-08","ELE-MOB-007","CX-005",5,272135,"Wallet"),</v>
      </c>
      <c r="N541" s="2"/>
      <c r="P541" s="4"/>
    </row>
    <row r="542" spans="1:16" x14ac:dyDescent="0.3">
      <c r="A542" s="2" t="s">
        <v>1107</v>
      </c>
      <c r="B542" s="5" t="s">
        <v>1596</v>
      </c>
      <c r="C542" s="2" t="s">
        <v>165</v>
      </c>
      <c r="D542" s="2" t="s">
        <v>469</v>
      </c>
      <c r="E542" s="2">
        <v>4</v>
      </c>
      <c r="F542" s="2">
        <v>187212</v>
      </c>
      <c r="G542" s="2" t="s">
        <v>565</v>
      </c>
      <c r="H542" s="2" t="str">
        <f t="shared" si="8"/>
        <v>("ORD-00541","2025-09-11","BEA-SKI-164","CX-047",4,187212,"NetBanking"),</v>
      </c>
      <c r="N542" s="2"/>
      <c r="P542" s="4"/>
    </row>
    <row r="543" spans="1:16" x14ac:dyDescent="0.3">
      <c r="A543" s="2" t="s">
        <v>1108</v>
      </c>
      <c r="B543" s="5" t="s">
        <v>1845</v>
      </c>
      <c r="C543" s="2" t="s">
        <v>75</v>
      </c>
      <c r="D543" s="2" t="s">
        <v>412</v>
      </c>
      <c r="E543" s="2">
        <v>4</v>
      </c>
      <c r="F543" s="2">
        <v>45480</v>
      </c>
      <c r="G543" s="2" t="s">
        <v>572</v>
      </c>
      <c r="H543" s="2" t="str">
        <f t="shared" si="8"/>
        <v>("ORD-00542","2025-11-11","FAS-FOO-074","CX-078",4,45480,"Card"),</v>
      </c>
      <c r="N543" s="2"/>
      <c r="P543" s="4"/>
    </row>
    <row r="544" spans="1:16" x14ac:dyDescent="0.3">
      <c r="A544" s="2" t="s">
        <v>1109</v>
      </c>
      <c r="B544" s="5" t="s">
        <v>1756</v>
      </c>
      <c r="C544" s="2" t="s">
        <v>75</v>
      </c>
      <c r="D544" s="2" t="s">
        <v>483</v>
      </c>
      <c r="E544" s="2">
        <v>4</v>
      </c>
      <c r="F544" s="2">
        <v>45480</v>
      </c>
      <c r="G544" s="2" t="s">
        <v>565</v>
      </c>
      <c r="H544" s="2" t="str">
        <f t="shared" si="8"/>
        <v>("ORD-00543","2025-04-04","FAS-FOO-074","CX-040",4,45480,"NetBanking"),</v>
      </c>
      <c r="N544" s="2"/>
      <c r="P544" s="4"/>
    </row>
    <row r="545" spans="1:16" x14ac:dyDescent="0.3">
      <c r="A545" s="2" t="s">
        <v>1110</v>
      </c>
      <c r="B545" s="5" t="s">
        <v>1836</v>
      </c>
      <c r="C545" s="2" t="s">
        <v>162</v>
      </c>
      <c r="D545" s="2" t="s">
        <v>382</v>
      </c>
      <c r="E545" s="2">
        <v>3</v>
      </c>
      <c r="F545" s="2">
        <v>65562</v>
      </c>
      <c r="G545" s="2" t="s">
        <v>567</v>
      </c>
      <c r="H545" s="2" t="str">
        <f t="shared" si="8"/>
        <v>("ORD-00544","2025-06-24","BEA-SKI-161","CX-093",3,65562,"Wallet"),</v>
      </c>
      <c r="N545" s="2"/>
      <c r="P545" s="4"/>
    </row>
    <row r="546" spans="1:16" x14ac:dyDescent="0.3">
      <c r="A546" s="2" t="s">
        <v>1111</v>
      </c>
      <c r="B546" s="5" t="s">
        <v>1846</v>
      </c>
      <c r="C546" s="2" t="s">
        <v>54</v>
      </c>
      <c r="D546" s="2" t="s">
        <v>467</v>
      </c>
      <c r="E546" s="2">
        <v>3</v>
      </c>
      <c r="F546" s="2">
        <v>24156</v>
      </c>
      <c r="G546" s="2" t="s">
        <v>563</v>
      </c>
      <c r="H546" s="2" t="str">
        <f t="shared" si="8"/>
        <v>("ORD-00545","2024-12-17","FAS-WOM-053","CX-048",3,24156,"Cash"),</v>
      </c>
      <c r="N546" s="2"/>
      <c r="P546" s="4"/>
    </row>
    <row r="547" spans="1:16" x14ac:dyDescent="0.3">
      <c r="A547" s="2" t="s">
        <v>1112</v>
      </c>
      <c r="B547" s="5" t="s">
        <v>1847</v>
      </c>
      <c r="C547" s="2" t="s">
        <v>94</v>
      </c>
      <c r="D547" s="2" t="s">
        <v>395</v>
      </c>
      <c r="E547" s="2">
        <v>4</v>
      </c>
      <c r="F547" s="2">
        <v>117072</v>
      </c>
      <c r="G547" s="2" t="s">
        <v>572</v>
      </c>
      <c r="H547" s="2" t="str">
        <f t="shared" si="8"/>
        <v>("ORD-00546","2025-01-22","HOM-DEC-093","CX-087",4,117072,"Card"),</v>
      </c>
      <c r="N547" s="2"/>
      <c r="P547" s="4"/>
    </row>
    <row r="548" spans="1:16" x14ac:dyDescent="0.3">
      <c r="A548" s="2" t="s">
        <v>1113</v>
      </c>
      <c r="B548" s="5" t="s">
        <v>1624</v>
      </c>
      <c r="C548" s="2" t="s">
        <v>37</v>
      </c>
      <c r="D548" s="2" t="s">
        <v>450</v>
      </c>
      <c r="E548" s="2">
        <v>4</v>
      </c>
      <c r="F548" s="2">
        <v>81432</v>
      </c>
      <c r="G548" s="2" t="s">
        <v>570</v>
      </c>
      <c r="H548" s="2" t="str">
        <f t="shared" si="8"/>
        <v>("ORD-00547","2025-10-08","ELE-CAM-036","CX-057",4,81432,"UPI"),</v>
      </c>
      <c r="N548" s="2"/>
      <c r="P548" s="4"/>
    </row>
    <row r="549" spans="1:16" x14ac:dyDescent="0.3">
      <c r="A549" s="2" t="s">
        <v>1114</v>
      </c>
      <c r="B549" s="5" t="s">
        <v>1848</v>
      </c>
      <c r="C549" s="2" t="s">
        <v>182</v>
      </c>
      <c r="D549" s="2" t="s">
        <v>481</v>
      </c>
      <c r="E549" s="2">
        <v>2</v>
      </c>
      <c r="F549" s="2">
        <v>61748</v>
      </c>
      <c r="G549" s="2" t="s">
        <v>563</v>
      </c>
      <c r="H549" s="2" t="str">
        <f t="shared" si="8"/>
        <v>("ORD-00548","2025-03-01","BEA-MAK-181","CX-041",2,61748,"Cash"),</v>
      </c>
      <c r="N549" s="2"/>
      <c r="P549" s="4"/>
    </row>
    <row r="550" spans="1:16" x14ac:dyDescent="0.3">
      <c r="A550" s="2" t="s">
        <v>1115</v>
      </c>
      <c r="B550" s="5" t="s">
        <v>1784</v>
      </c>
      <c r="C550" s="2" t="s">
        <v>84</v>
      </c>
      <c r="D550" s="2" t="s">
        <v>553</v>
      </c>
      <c r="E550" s="2">
        <v>1</v>
      </c>
      <c r="F550" s="2">
        <v>386</v>
      </c>
      <c r="G550" s="2" t="s">
        <v>570</v>
      </c>
      <c r="H550" s="2" t="str">
        <f t="shared" si="8"/>
        <v>("ORD-00549","2025-04-27","HOM-KIT-083","CX-002",1,386,"UPI"),</v>
      </c>
      <c r="N550" s="2"/>
      <c r="P550" s="4"/>
    </row>
    <row r="551" spans="1:16" x14ac:dyDescent="0.3">
      <c r="A551" s="2" t="s">
        <v>1116</v>
      </c>
      <c r="B551" s="5" t="s">
        <v>1586</v>
      </c>
      <c r="C551" s="2" t="s">
        <v>100</v>
      </c>
      <c r="D551" s="2" t="s">
        <v>537</v>
      </c>
      <c r="E551" s="2">
        <v>4</v>
      </c>
      <c r="F551" s="2">
        <v>194916</v>
      </c>
      <c r="G551" s="2" t="s">
        <v>570</v>
      </c>
      <c r="H551" s="2" t="str">
        <f t="shared" si="8"/>
        <v>("ORD-00550","2025-07-02","HOM-DEC-099","CX-011",4,194916,"UPI"),</v>
      </c>
      <c r="N551" s="2"/>
      <c r="P551" s="4"/>
    </row>
    <row r="552" spans="1:16" x14ac:dyDescent="0.3">
      <c r="A552" s="2" t="s">
        <v>1117</v>
      </c>
      <c r="B552" s="5" t="s">
        <v>1616</v>
      </c>
      <c r="C552" s="2" t="s">
        <v>113</v>
      </c>
      <c r="D552" s="2" t="s">
        <v>391</v>
      </c>
      <c r="E552" s="2">
        <v>5</v>
      </c>
      <c r="F552" s="2">
        <v>194005</v>
      </c>
      <c r="G552" s="2" t="s">
        <v>563</v>
      </c>
      <c r="H552" s="2" t="str">
        <f t="shared" si="8"/>
        <v>("ORD-00551","2025-10-09","HOM-FUR-112","CX-089",5,194005,"Cash"),</v>
      </c>
      <c r="N552" s="2"/>
      <c r="P552" s="4"/>
    </row>
    <row r="553" spans="1:16" x14ac:dyDescent="0.3">
      <c r="A553" s="2" t="s">
        <v>1118</v>
      </c>
      <c r="B553" s="5" t="s">
        <v>1705</v>
      </c>
      <c r="C553" s="2" t="s">
        <v>92</v>
      </c>
      <c r="D553" s="2" t="s">
        <v>515</v>
      </c>
      <c r="E553" s="2">
        <v>3</v>
      </c>
      <c r="F553" s="2">
        <v>76194</v>
      </c>
      <c r="G553" s="2" t="s">
        <v>567</v>
      </c>
      <c r="H553" s="2" t="str">
        <f t="shared" si="8"/>
        <v>("ORD-00552","2025-10-03","HOM-DEC-091","CX-023",3,76194,"Wallet"),</v>
      </c>
      <c r="N553" s="2"/>
      <c r="P553" s="4"/>
    </row>
    <row r="554" spans="1:16" x14ac:dyDescent="0.3">
      <c r="A554" s="2" t="s">
        <v>1119</v>
      </c>
      <c r="B554" s="5" t="s">
        <v>1698</v>
      </c>
      <c r="C554" s="2" t="s">
        <v>100</v>
      </c>
      <c r="D554" s="2" t="s">
        <v>547</v>
      </c>
      <c r="E554" s="2">
        <v>4</v>
      </c>
      <c r="F554" s="2">
        <v>194916</v>
      </c>
      <c r="G554" s="2" t="s">
        <v>572</v>
      </c>
      <c r="H554" s="2" t="str">
        <f t="shared" si="8"/>
        <v>("ORD-00553","2025-03-12","HOM-DEC-099","CX-005",4,194916,"Card"),</v>
      </c>
      <c r="N554" s="2"/>
      <c r="P554" s="4"/>
    </row>
    <row r="555" spans="1:16" x14ac:dyDescent="0.3">
      <c r="A555" s="2" t="s">
        <v>1120</v>
      </c>
      <c r="B555" s="5" t="s">
        <v>1791</v>
      </c>
      <c r="C555" s="2" t="s">
        <v>62</v>
      </c>
      <c r="D555" s="2" t="s">
        <v>393</v>
      </c>
      <c r="E555" s="2">
        <v>4</v>
      </c>
      <c r="F555" s="2">
        <v>60812</v>
      </c>
      <c r="G555" s="2" t="s">
        <v>563</v>
      </c>
      <c r="H555" s="2" t="str">
        <f t="shared" si="8"/>
        <v>("ORD-00554","2025-02-10","FAS-KID-061","CX-088",4,60812,"Cash"),</v>
      </c>
      <c r="N555" s="2"/>
      <c r="P555" s="4"/>
    </row>
    <row r="556" spans="1:16" x14ac:dyDescent="0.3">
      <c r="A556" s="2" t="s">
        <v>1121</v>
      </c>
      <c r="B556" s="5" t="s">
        <v>1674</v>
      </c>
      <c r="C556" s="2" t="s">
        <v>17</v>
      </c>
      <c r="D556" s="2" t="s">
        <v>350</v>
      </c>
      <c r="E556" s="2">
        <v>1</v>
      </c>
      <c r="F556" s="2">
        <v>7959</v>
      </c>
      <c r="G556" s="2" t="s">
        <v>563</v>
      </c>
      <c r="H556" s="2" t="str">
        <f t="shared" si="8"/>
        <v>("ORD-00555","2025-05-04","ELE-LAP-016","CX-109",1,7959,"Cash"),</v>
      </c>
      <c r="N556" s="2"/>
      <c r="P556" s="4"/>
    </row>
    <row r="557" spans="1:16" x14ac:dyDescent="0.3">
      <c r="A557" s="2" t="s">
        <v>1122</v>
      </c>
      <c r="B557" s="5" t="s">
        <v>1849</v>
      </c>
      <c r="C557" s="2" t="s">
        <v>178</v>
      </c>
      <c r="D557" s="2" t="s">
        <v>443</v>
      </c>
      <c r="E557" s="2">
        <v>3</v>
      </c>
      <c r="F557" s="2">
        <v>155367</v>
      </c>
      <c r="G557" s="2" t="s">
        <v>565</v>
      </c>
      <c r="H557" s="2" t="str">
        <f t="shared" si="8"/>
        <v>("ORD-00556","2024-11-30","BEA-HAI-177","CX-061",3,155367,"NetBanking"),</v>
      </c>
      <c r="N557" s="2"/>
      <c r="P557" s="4"/>
    </row>
    <row r="558" spans="1:16" x14ac:dyDescent="0.3">
      <c r="A558" s="2" t="s">
        <v>1123</v>
      </c>
      <c r="B558" s="5" t="s">
        <v>1850</v>
      </c>
      <c r="C558" s="2" t="s">
        <v>120</v>
      </c>
      <c r="D558" s="2" t="s">
        <v>354</v>
      </c>
      <c r="E558" s="2">
        <v>4</v>
      </c>
      <c r="F558" s="2">
        <v>77480</v>
      </c>
      <c r="G558" s="2" t="s">
        <v>565</v>
      </c>
      <c r="H558" s="2" t="str">
        <f t="shared" si="8"/>
        <v>("ORD-00557","2025-11-20","HOM-FUR-119","CX-107",4,77480,"NetBanking"),</v>
      </c>
      <c r="N558" s="2"/>
      <c r="P558" s="4"/>
    </row>
    <row r="559" spans="1:16" x14ac:dyDescent="0.3">
      <c r="A559" s="2" t="s">
        <v>1124</v>
      </c>
      <c r="B559" s="5" t="s">
        <v>1851</v>
      </c>
      <c r="C559" s="2" t="s">
        <v>147</v>
      </c>
      <c r="D559" s="2" t="s">
        <v>437</v>
      </c>
      <c r="E559" s="2">
        <v>3</v>
      </c>
      <c r="F559" s="2">
        <v>112803</v>
      </c>
      <c r="G559" s="2" t="s">
        <v>567</v>
      </c>
      <c r="H559" s="2" t="str">
        <f t="shared" si="8"/>
        <v>("ORD-00558","2025-05-25","SPO-IND-146","CX-064",3,112803,"Wallet"),</v>
      </c>
      <c r="N559" s="2"/>
      <c r="P559" s="4"/>
    </row>
    <row r="560" spans="1:16" x14ac:dyDescent="0.3">
      <c r="A560" s="2" t="s">
        <v>1125</v>
      </c>
      <c r="B560" s="5" t="s">
        <v>1699</v>
      </c>
      <c r="C560" s="2" t="s">
        <v>143</v>
      </c>
      <c r="D560" s="2" t="s">
        <v>356</v>
      </c>
      <c r="E560" s="2">
        <v>1</v>
      </c>
      <c r="F560" s="2">
        <v>27197</v>
      </c>
      <c r="G560" s="2" t="s">
        <v>572</v>
      </c>
      <c r="H560" s="2" t="str">
        <f t="shared" si="8"/>
        <v>("ORD-00559","2025-05-24","SPO-IND-142","CX-106",1,27197,"Card"),</v>
      </c>
      <c r="N560" s="2"/>
      <c r="P560" s="4"/>
    </row>
    <row r="561" spans="1:16" x14ac:dyDescent="0.3">
      <c r="A561" s="2" t="s">
        <v>1126</v>
      </c>
      <c r="B561" s="5" t="s">
        <v>1754</v>
      </c>
      <c r="C561" s="2" t="s">
        <v>37</v>
      </c>
      <c r="D561" s="2" t="s">
        <v>465</v>
      </c>
      <c r="E561" s="2">
        <v>3</v>
      </c>
      <c r="F561" s="2">
        <v>61074</v>
      </c>
      <c r="G561" s="2" t="s">
        <v>570</v>
      </c>
      <c r="H561" s="2" t="str">
        <f t="shared" si="8"/>
        <v>("ORD-00560","2025-03-06","ELE-CAM-036","CX-049",3,61074,"UPI"),</v>
      </c>
      <c r="N561" s="2"/>
      <c r="P561" s="4"/>
    </row>
    <row r="562" spans="1:16" x14ac:dyDescent="0.3">
      <c r="A562" s="2" t="s">
        <v>1127</v>
      </c>
      <c r="B562" s="5" t="s">
        <v>1852</v>
      </c>
      <c r="C562" s="2" t="s">
        <v>10</v>
      </c>
      <c r="D562" s="2" t="s">
        <v>331</v>
      </c>
      <c r="E562" s="2">
        <v>1</v>
      </c>
      <c r="F562" s="2">
        <v>52903</v>
      </c>
      <c r="G562" s="2" t="s">
        <v>572</v>
      </c>
      <c r="H562" s="2" t="str">
        <f t="shared" si="8"/>
        <v>("ORD-00561","2025-09-16","ELE-MOB-009","CX-116",1,52903,"Card"),</v>
      </c>
      <c r="N562" s="2"/>
      <c r="P562" s="4"/>
    </row>
    <row r="563" spans="1:16" x14ac:dyDescent="0.3">
      <c r="A563" s="2" t="s">
        <v>1128</v>
      </c>
      <c r="B563" s="5" t="s">
        <v>1662</v>
      </c>
      <c r="C563" s="2" t="s">
        <v>51</v>
      </c>
      <c r="D563" s="2" t="s">
        <v>378</v>
      </c>
      <c r="E563" s="2">
        <v>1</v>
      </c>
      <c r="F563" s="2">
        <v>16046</v>
      </c>
      <c r="G563" s="2" t="s">
        <v>563</v>
      </c>
      <c r="H563" s="2" t="str">
        <f t="shared" si="8"/>
        <v>("ORD-00562","2025-01-21","FAS-MEN-050","CX-095",1,16046,"Cash"),</v>
      </c>
      <c r="N563" s="2"/>
      <c r="P563" s="4"/>
    </row>
    <row r="564" spans="1:16" x14ac:dyDescent="0.3">
      <c r="A564" s="2" t="s">
        <v>1129</v>
      </c>
      <c r="B564" s="5" t="s">
        <v>1853</v>
      </c>
      <c r="C564" s="2" t="s">
        <v>150</v>
      </c>
      <c r="D564" s="2" t="s">
        <v>416</v>
      </c>
      <c r="E564" s="2">
        <v>1</v>
      </c>
      <c r="F564" s="2">
        <v>58893</v>
      </c>
      <c r="G564" s="2" t="s">
        <v>565</v>
      </c>
      <c r="H564" s="2" t="str">
        <f t="shared" si="8"/>
        <v>("ORD-00563","2025-01-09","SPO-IND-149","CX-076",1,58893,"NetBanking"),</v>
      </c>
      <c r="N564" s="2"/>
      <c r="P564" s="4"/>
    </row>
    <row r="565" spans="1:16" x14ac:dyDescent="0.3">
      <c r="A565" s="2" t="s">
        <v>1130</v>
      </c>
      <c r="B565" s="5" t="s">
        <v>1739</v>
      </c>
      <c r="C565" s="2" t="s">
        <v>132</v>
      </c>
      <c r="D565" s="2" t="s">
        <v>405</v>
      </c>
      <c r="E565" s="2">
        <v>5</v>
      </c>
      <c r="F565" s="2">
        <v>287650</v>
      </c>
      <c r="G565" s="2" t="s">
        <v>565</v>
      </c>
      <c r="H565" s="2" t="str">
        <f t="shared" si="8"/>
        <v>("ORD-00564","2025-11-10","SPO-OUT-131","CX-082",5,287650,"NetBanking"),</v>
      </c>
      <c r="N565" s="2"/>
      <c r="P565" s="4"/>
    </row>
    <row r="566" spans="1:16" x14ac:dyDescent="0.3">
      <c r="A566" s="2" t="s">
        <v>1131</v>
      </c>
      <c r="B566" s="5" t="s">
        <v>1721</v>
      </c>
      <c r="C566" s="2" t="s">
        <v>35</v>
      </c>
      <c r="D566" s="2" t="s">
        <v>356</v>
      </c>
      <c r="E566" s="2">
        <v>4</v>
      </c>
      <c r="F566" s="2">
        <v>237116</v>
      </c>
      <c r="G566" s="2" t="s">
        <v>565</v>
      </c>
      <c r="H566" s="2" t="str">
        <f t="shared" si="8"/>
        <v>("ORD-00565","2025-06-13","ELE-CAM-034","CX-106",4,237116,"NetBanking"),</v>
      </c>
      <c r="N566" s="2"/>
      <c r="P566" s="4"/>
    </row>
    <row r="567" spans="1:16" x14ac:dyDescent="0.3">
      <c r="A567" s="2" t="s">
        <v>1132</v>
      </c>
      <c r="B567" s="5" t="s">
        <v>1699</v>
      </c>
      <c r="C567" s="2" t="s">
        <v>169</v>
      </c>
      <c r="D567" s="2" t="s">
        <v>531</v>
      </c>
      <c r="E567" s="2">
        <v>2</v>
      </c>
      <c r="F567" s="2">
        <v>27160</v>
      </c>
      <c r="G567" s="2" t="s">
        <v>563</v>
      </c>
      <c r="H567" s="2" t="str">
        <f t="shared" si="8"/>
        <v>("ORD-00566","2025-05-24","BEA-SKI-168","CX-014",2,27160,"Cash"),</v>
      </c>
      <c r="N567" s="2"/>
      <c r="P567" s="4"/>
    </row>
    <row r="568" spans="1:16" x14ac:dyDescent="0.3">
      <c r="A568" s="2" t="s">
        <v>1133</v>
      </c>
      <c r="B568" s="5" t="s">
        <v>1618</v>
      </c>
      <c r="C568" s="2" t="s">
        <v>171</v>
      </c>
      <c r="D568" s="2" t="s">
        <v>418</v>
      </c>
      <c r="E568" s="2">
        <v>2</v>
      </c>
      <c r="F568" s="2">
        <v>41714</v>
      </c>
      <c r="G568" s="2" t="s">
        <v>565</v>
      </c>
      <c r="H568" s="2" t="str">
        <f t="shared" si="8"/>
        <v>("ORD-00567","2025-04-23","BEA-SKI-170","CX-075",2,41714,"NetBanking"),</v>
      </c>
      <c r="N568" s="2"/>
      <c r="P568" s="4"/>
    </row>
    <row r="569" spans="1:16" x14ac:dyDescent="0.3">
      <c r="A569" s="2" t="s">
        <v>1134</v>
      </c>
      <c r="B569" s="5" t="s">
        <v>1667</v>
      </c>
      <c r="C569" s="2" t="s">
        <v>148</v>
      </c>
      <c r="D569" s="2" t="s">
        <v>344</v>
      </c>
      <c r="E569" s="2">
        <v>3</v>
      </c>
      <c r="F569" s="2">
        <v>82398</v>
      </c>
      <c r="G569" s="2" t="s">
        <v>567</v>
      </c>
      <c r="H569" s="2" t="str">
        <f t="shared" si="8"/>
        <v>("ORD-00568","2025-01-31","SPO-IND-147","CX-111",3,82398,"Wallet"),</v>
      </c>
      <c r="N569" s="2"/>
      <c r="P569" s="4"/>
    </row>
    <row r="570" spans="1:16" x14ac:dyDescent="0.3">
      <c r="A570" s="2" t="s">
        <v>1135</v>
      </c>
      <c r="B570" s="5" t="s">
        <v>1660</v>
      </c>
      <c r="C570" s="2" t="s">
        <v>69</v>
      </c>
      <c r="D570" s="2" t="s">
        <v>331</v>
      </c>
      <c r="E570" s="2">
        <v>2</v>
      </c>
      <c r="F570" s="2">
        <v>30606</v>
      </c>
      <c r="G570" s="2" t="s">
        <v>567</v>
      </c>
      <c r="H570" s="2" t="str">
        <f t="shared" si="8"/>
        <v>("ORD-00569","2024-12-06","FAS-KID-068","CX-116",2,30606,"Wallet"),</v>
      </c>
      <c r="N570" s="2"/>
      <c r="P570" s="4"/>
    </row>
    <row r="571" spans="1:16" x14ac:dyDescent="0.3">
      <c r="A571" s="2" t="s">
        <v>1136</v>
      </c>
      <c r="B571" s="5" t="s">
        <v>1737</v>
      </c>
      <c r="C571" s="2" t="s">
        <v>200</v>
      </c>
      <c r="D571" s="2" t="s">
        <v>452</v>
      </c>
      <c r="E571" s="2">
        <v>3</v>
      </c>
      <c r="F571" s="2">
        <v>20202</v>
      </c>
      <c r="G571" s="2" t="s">
        <v>567</v>
      </c>
      <c r="H571" s="2" t="str">
        <f t="shared" si="8"/>
        <v>("ORD-00570","2025-02-02","BEA-FRA-199","CX-056",3,20202,"Wallet"),</v>
      </c>
      <c r="N571" s="2"/>
      <c r="P571" s="4"/>
    </row>
    <row r="572" spans="1:16" x14ac:dyDescent="0.3">
      <c r="A572" s="2" t="s">
        <v>1137</v>
      </c>
      <c r="B572" s="5" t="s">
        <v>1647</v>
      </c>
      <c r="C572" s="2" t="s">
        <v>141</v>
      </c>
      <c r="D572" s="2" t="s">
        <v>405</v>
      </c>
      <c r="E572" s="2">
        <v>2</v>
      </c>
      <c r="F572" s="2">
        <v>56184</v>
      </c>
      <c r="G572" s="2" t="s">
        <v>570</v>
      </c>
      <c r="H572" s="2" t="str">
        <f t="shared" si="8"/>
        <v>("ORD-00571","2025-06-18","SPO-OUT-140","CX-082",2,56184,"UPI"),</v>
      </c>
      <c r="N572" s="2"/>
      <c r="P572" s="4"/>
    </row>
    <row r="573" spans="1:16" x14ac:dyDescent="0.3">
      <c r="A573" s="2" t="s">
        <v>1138</v>
      </c>
      <c r="B573" s="5" t="s">
        <v>1854</v>
      </c>
      <c r="C573" s="2" t="s">
        <v>123</v>
      </c>
      <c r="D573" s="2" t="s">
        <v>475</v>
      </c>
      <c r="E573" s="2">
        <v>4</v>
      </c>
      <c r="F573" s="2">
        <v>147748</v>
      </c>
      <c r="G573" s="2" t="s">
        <v>565</v>
      </c>
      <c r="H573" s="2" t="str">
        <f t="shared" si="8"/>
        <v>("ORD-00572","2025-10-22","SPO-FIT-122","CX-044",4,147748,"NetBanking"),</v>
      </c>
      <c r="N573" s="2"/>
      <c r="P573" s="4"/>
    </row>
    <row r="574" spans="1:16" x14ac:dyDescent="0.3">
      <c r="A574" s="2" t="s">
        <v>1139</v>
      </c>
      <c r="B574" s="5" t="s">
        <v>1855</v>
      </c>
      <c r="C574" s="2" t="s">
        <v>133</v>
      </c>
      <c r="D574" s="2" t="s">
        <v>515</v>
      </c>
      <c r="E574" s="2">
        <v>1</v>
      </c>
      <c r="F574" s="2">
        <v>41258</v>
      </c>
      <c r="G574" s="2" t="s">
        <v>572</v>
      </c>
      <c r="H574" s="2" t="str">
        <f t="shared" si="8"/>
        <v>("ORD-00573","2024-12-29","SPO-OUT-132","CX-023",1,41258,"Card"),</v>
      </c>
      <c r="N574" s="2"/>
      <c r="P574" s="4"/>
    </row>
    <row r="575" spans="1:16" x14ac:dyDescent="0.3">
      <c r="A575" s="2" t="s">
        <v>1140</v>
      </c>
      <c r="B575" s="5" t="s">
        <v>1733</v>
      </c>
      <c r="C575" s="2" t="s">
        <v>81</v>
      </c>
      <c r="D575" s="2" t="s">
        <v>471</v>
      </c>
      <c r="E575" s="2">
        <v>5</v>
      </c>
      <c r="F575" s="2">
        <v>15345</v>
      </c>
      <c r="G575" s="2" t="s">
        <v>572</v>
      </c>
      <c r="H575" s="2" t="str">
        <f t="shared" si="8"/>
        <v>("ORD-00574","2025-01-16","FAS-FOO-080","CX-046",5,15345,"Card"),</v>
      </c>
      <c r="N575" s="2"/>
      <c r="P575" s="4"/>
    </row>
    <row r="576" spans="1:16" x14ac:dyDescent="0.3">
      <c r="A576" s="2" t="s">
        <v>1141</v>
      </c>
      <c r="B576" s="5" t="s">
        <v>1661</v>
      </c>
      <c r="C576" s="2" t="s">
        <v>192</v>
      </c>
      <c r="D576" s="2" t="s">
        <v>370</v>
      </c>
      <c r="E576" s="2">
        <v>2</v>
      </c>
      <c r="F576" s="2">
        <v>109110</v>
      </c>
      <c r="G576" s="2" t="s">
        <v>567</v>
      </c>
      <c r="H576" s="2" t="str">
        <f t="shared" si="8"/>
        <v>("ORD-00575","2025-05-30","BEA-FRA-191","CX-099",2,109110,"Wallet"),</v>
      </c>
      <c r="N576" s="2"/>
      <c r="P576" s="4"/>
    </row>
    <row r="577" spans="1:16" x14ac:dyDescent="0.3">
      <c r="A577" s="2" t="s">
        <v>1142</v>
      </c>
      <c r="B577" s="5" t="s">
        <v>1599</v>
      </c>
      <c r="C577" s="2" t="s">
        <v>75</v>
      </c>
      <c r="D577" s="2" t="s">
        <v>454</v>
      </c>
      <c r="E577" s="2">
        <v>5</v>
      </c>
      <c r="F577" s="2">
        <v>56850</v>
      </c>
      <c r="G577" s="2" t="s">
        <v>563</v>
      </c>
      <c r="H577" s="2" t="str">
        <f t="shared" si="8"/>
        <v>("ORD-00576","2025-05-26","FAS-FOO-074","CX-055",5,56850,"Cash"),</v>
      </c>
      <c r="N577" s="2"/>
      <c r="P577" s="4"/>
    </row>
    <row r="578" spans="1:16" x14ac:dyDescent="0.3">
      <c r="A578" s="2" t="s">
        <v>1143</v>
      </c>
      <c r="B578" s="5" t="s">
        <v>1856</v>
      </c>
      <c r="C578" s="2" t="s">
        <v>164</v>
      </c>
      <c r="D578" s="2" t="s">
        <v>328</v>
      </c>
      <c r="E578" s="2">
        <v>2</v>
      </c>
      <c r="F578" s="2">
        <v>108944</v>
      </c>
      <c r="G578" s="2" t="s">
        <v>563</v>
      </c>
      <c r="H578" s="2" t="str">
        <f t="shared" si="8"/>
        <v>("ORD-00577","2025-08-30","BEA-SKI-163","CX-117",2,108944,"Cash"),</v>
      </c>
      <c r="N578" s="2"/>
      <c r="P578" s="4"/>
    </row>
    <row r="579" spans="1:16" x14ac:dyDescent="0.3">
      <c r="A579" s="2" t="s">
        <v>1144</v>
      </c>
      <c r="B579" s="5" t="s">
        <v>1857</v>
      </c>
      <c r="C579" s="2" t="s">
        <v>116</v>
      </c>
      <c r="D579" s="2" t="s">
        <v>354</v>
      </c>
      <c r="E579" s="2">
        <v>2</v>
      </c>
      <c r="F579" s="2">
        <v>103624</v>
      </c>
      <c r="G579" s="2" t="s">
        <v>563</v>
      </c>
      <c r="H579" s="2" t="str">
        <f t="shared" ref="H579:H642" si="9">"("""&amp;A579&amp;""","""&amp;B579&amp;""","""&amp;C579&amp;""","""&amp;D579&amp;""","&amp;E579&amp;","&amp;F579&amp;","""&amp;G579&amp;"""),"</f>
        <v>("ORD-00578","2025-09-08","HOM-FUR-115","CX-107",2,103624,"Cash"),</v>
      </c>
      <c r="N579" s="2"/>
      <c r="P579" s="4"/>
    </row>
    <row r="580" spans="1:16" x14ac:dyDescent="0.3">
      <c r="A580" s="2" t="s">
        <v>1145</v>
      </c>
      <c r="B580" s="5" t="s">
        <v>1696</v>
      </c>
      <c r="C580" s="2" t="s">
        <v>104</v>
      </c>
      <c r="D580" s="2" t="s">
        <v>539</v>
      </c>
      <c r="E580" s="2">
        <v>2</v>
      </c>
      <c r="F580" s="2">
        <v>72662</v>
      </c>
      <c r="G580" s="2" t="s">
        <v>563</v>
      </c>
      <c r="H580" s="2" t="str">
        <f t="shared" si="9"/>
        <v>("ORD-00579","2025-04-02","HOM-APP-103","CX-010",2,72662,"Cash"),</v>
      </c>
      <c r="N580" s="2"/>
      <c r="P580" s="4"/>
    </row>
    <row r="581" spans="1:16" x14ac:dyDescent="0.3">
      <c r="A581" s="2" t="s">
        <v>1146</v>
      </c>
      <c r="B581" s="5" t="s">
        <v>1767</v>
      </c>
      <c r="C581" s="2" t="s">
        <v>11</v>
      </c>
      <c r="D581" s="2" t="s">
        <v>531</v>
      </c>
      <c r="E581" s="2">
        <v>2</v>
      </c>
      <c r="F581" s="2">
        <v>3808</v>
      </c>
      <c r="G581" s="2" t="s">
        <v>572</v>
      </c>
      <c r="H581" s="2" t="str">
        <f t="shared" si="9"/>
        <v>("ORD-00580","2024-11-29","ELE-MOB-010","CX-014",2,3808,"Card"),</v>
      </c>
      <c r="N581" s="2"/>
      <c r="P581" s="4"/>
    </row>
    <row r="582" spans="1:16" x14ac:dyDescent="0.3">
      <c r="A582" s="2" t="s">
        <v>1147</v>
      </c>
      <c r="B582" s="5" t="s">
        <v>1858</v>
      </c>
      <c r="C582" s="2" t="s">
        <v>105</v>
      </c>
      <c r="D582" s="2" t="s">
        <v>458</v>
      </c>
      <c r="E582" s="2">
        <v>5</v>
      </c>
      <c r="F582" s="2">
        <v>205510</v>
      </c>
      <c r="G582" s="2" t="s">
        <v>572</v>
      </c>
      <c r="H582" s="2" t="str">
        <f t="shared" si="9"/>
        <v>("ORD-00581","2025-03-21","HOM-APP-104","CX-053",5,205510,"Card"),</v>
      </c>
      <c r="N582" s="2"/>
      <c r="P582" s="4"/>
    </row>
    <row r="583" spans="1:16" x14ac:dyDescent="0.3">
      <c r="A583" s="2" t="s">
        <v>1148</v>
      </c>
      <c r="B583" s="5" t="s">
        <v>1681</v>
      </c>
      <c r="C583" s="2" t="s">
        <v>165</v>
      </c>
      <c r="D583" s="2" t="s">
        <v>407</v>
      </c>
      <c r="E583" s="2">
        <v>5</v>
      </c>
      <c r="F583" s="2">
        <v>234015</v>
      </c>
      <c r="G583" s="2" t="s">
        <v>563</v>
      </c>
      <c r="H583" s="2" t="str">
        <f t="shared" si="9"/>
        <v>("ORD-00582","2025-11-12","BEA-SKI-164","CX-081",5,234015,"Cash"),</v>
      </c>
      <c r="N583" s="2"/>
      <c r="P583" s="4"/>
    </row>
    <row r="584" spans="1:16" x14ac:dyDescent="0.3">
      <c r="A584" s="2" t="s">
        <v>1149</v>
      </c>
      <c r="B584" s="5" t="s">
        <v>1793</v>
      </c>
      <c r="C584" s="2" t="s">
        <v>189</v>
      </c>
      <c r="D584" s="2" t="s">
        <v>458</v>
      </c>
      <c r="E584" s="2">
        <v>4</v>
      </c>
      <c r="F584" s="2">
        <v>62008</v>
      </c>
      <c r="G584" s="2" t="s">
        <v>570</v>
      </c>
      <c r="H584" s="2" t="str">
        <f t="shared" si="9"/>
        <v>("ORD-00583","2025-09-06","BEA-MAK-188","CX-053",4,62008,"UPI"),</v>
      </c>
      <c r="N584" s="2"/>
      <c r="P584" s="4"/>
    </row>
    <row r="585" spans="1:16" x14ac:dyDescent="0.3">
      <c r="A585" s="2" t="s">
        <v>1150</v>
      </c>
      <c r="B585" s="5" t="s">
        <v>1837</v>
      </c>
      <c r="C585" s="2" t="s">
        <v>39</v>
      </c>
      <c r="D585" s="2" t="s">
        <v>454</v>
      </c>
      <c r="E585" s="2">
        <v>1</v>
      </c>
      <c r="F585" s="2">
        <v>32504</v>
      </c>
      <c r="G585" s="2" t="s">
        <v>565</v>
      </c>
      <c r="H585" s="2" t="str">
        <f t="shared" si="9"/>
        <v>("ORD-00584","2025-03-26","ELE-CAM-038","CX-055",1,32504,"NetBanking"),</v>
      </c>
      <c r="N585" s="2"/>
      <c r="P585" s="4"/>
    </row>
    <row r="586" spans="1:16" x14ac:dyDescent="0.3">
      <c r="A586" s="2" t="s">
        <v>1151</v>
      </c>
      <c r="B586" s="5" t="s">
        <v>1659</v>
      </c>
      <c r="C586" s="2" t="s">
        <v>39</v>
      </c>
      <c r="D586" s="2" t="s">
        <v>458</v>
      </c>
      <c r="E586" s="2">
        <v>5</v>
      </c>
      <c r="F586" s="2">
        <v>162520</v>
      </c>
      <c r="G586" s="2" t="s">
        <v>570</v>
      </c>
      <c r="H586" s="2" t="str">
        <f t="shared" si="9"/>
        <v>("ORD-00585","2025-02-22","ELE-CAM-038","CX-053",5,162520,"UPI"),</v>
      </c>
      <c r="N586" s="2"/>
      <c r="P586" s="4"/>
    </row>
    <row r="587" spans="1:16" x14ac:dyDescent="0.3">
      <c r="A587" s="2" t="s">
        <v>1152</v>
      </c>
      <c r="B587" s="5" t="s">
        <v>1804</v>
      </c>
      <c r="C587" s="2" t="s">
        <v>201</v>
      </c>
      <c r="D587" s="2" t="s">
        <v>520</v>
      </c>
      <c r="E587" s="2">
        <v>4</v>
      </c>
      <c r="F587" s="2">
        <v>35048</v>
      </c>
      <c r="G587" s="2" t="s">
        <v>565</v>
      </c>
      <c r="H587" s="2" t="str">
        <f t="shared" si="9"/>
        <v>("ORD-00586","2025-06-02","BEA-FRA-200","CX-020",4,35048,"NetBanking"),</v>
      </c>
      <c r="N587" s="2"/>
      <c r="P587" s="4"/>
    </row>
    <row r="588" spans="1:16" x14ac:dyDescent="0.3">
      <c r="A588" s="2" t="s">
        <v>1153</v>
      </c>
      <c r="B588" s="5" t="s">
        <v>1777</v>
      </c>
      <c r="C588" s="2" t="s">
        <v>195</v>
      </c>
      <c r="D588" s="2" t="s">
        <v>337</v>
      </c>
      <c r="E588" s="2">
        <v>2</v>
      </c>
      <c r="F588" s="2">
        <v>69976</v>
      </c>
      <c r="G588" s="2" t="s">
        <v>563</v>
      </c>
      <c r="H588" s="2" t="str">
        <f t="shared" si="9"/>
        <v>("ORD-00587","2025-04-19","BEA-FRA-194","CX-114",2,69976,"Cash"),</v>
      </c>
      <c r="N588" s="2"/>
      <c r="P588" s="4"/>
    </row>
    <row r="589" spans="1:16" x14ac:dyDescent="0.3">
      <c r="A589" s="2" t="s">
        <v>1154</v>
      </c>
      <c r="B589" s="5" t="s">
        <v>1741</v>
      </c>
      <c r="C589" s="2" t="s">
        <v>68</v>
      </c>
      <c r="D589" s="2" t="s">
        <v>539</v>
      </c>
      <c r="E589" s="2">
        <v>2</v>
      </c>
      <c r="F589" s="2">
        <v>113550</v>
      </c>
      <c r="G589" s="2" t="s">
        <v>567</v>
      </c>
      <c r="H589" s="2" t="str">
        <f t="shared" si="9"/>
        <v>("ORD-00588","2025-04-29","FAS-KID-067","CX-010",2,113550,"Wallet"),</v>
      </c>
      <c r="N589" s="2"/>
      <c r="P589" s="4"/>
    </row>
    <row r="590" spans="1:16" x14ac:dyDescent="0.3">
      <c r="A590" s="2" t="s">
        <v>1155</v>
      </c>
      <c r="B590" s="5" t="s">
        <v>1575</v>
      </c>
      <c r="C590" s="2" t="s">
        <v>30</v>
      </c>
      <c r="D590" s="2" t="s">
        <v>356</v>
      </c>
      <c r="E590" s="2">
        <v>3</v>
      </c>
      <c r="F590" s="2">
        <v>9171</v>
      </c>
      <c r="G590" s="2" t="s">
        <v>572</v>
      </c>
      <c r="H590" s="2" t="str">
        <f t="shared" si="9"/>
        <v>("ORD-00589","2025-10-21","ELE-ACC-029","CX-106",3,9171,"Card"),</v>
      </c>
      <c r="N590" s="2"/>
      <c r="P590" s="4"/>
    </row>
    <row r="591" spans="1:16" x14ac:dyDescent="0.3">
      <c r="A591" s="2" t="s">
        <v>1156</v>
      </c>
      <c r="B591" s="5" t="s">
        <v>1636</v>
      </c>
      <c r="C591" s="2" t="s">
        <v>192</v>
      </c>
      <c r="D591" s="2" t="s">
        <v>418</v>
      </c>
      <c r="E591" s="2">
        <v>1</v>
      </c>
      <c r="F591" s="2">
        <v>54555</v>
      </c>
      <c r="G591" s="2" t="s">
        <v>570</v>
      </c>
      <c r="H591" s="2" t="str">
        <f t="shared" si="9"/>
        <v>("ORD-00590","2025-07-27","BEA-FRA-191","CX-075",1,54555,"UPI"),</v>
      </c>
      <c r="N591" s="2"/>
      <c r="P591" s="4"/>
    </row>
    <row r="592" spans="1:16" x14ac:dyDescent="0.3">
      <c r="A592" s="2" t="s">
        <v>1157</v>
      </c>
      <c r="B592" s="5" t="s">
        <v>1859</v>
      </c>
      <c r="C592" s="2" t="s">
        <v>169</v>
      </c>
      <c r="D592" s="2" t="s">
        <v>542</v>
      </c>
      <c r="E592" s="2">
        <v>2</v>
      </c>
      <c r="F592" s="2">
        <v>27160</v>
      </c>
      <c r="G592" s="2" t="s">
        <v>563</v>
      </c>
      <c r="H592" s="2" t="str">
        <f t="shared" si="9"/>
        <v>("ORD-00591","2025-07-07","BEA-SKI-168","CX-008",2,27160,"Cash"),</v>
      </c>
      <c r="N592" s="2"/>
      <c r="P592" s="4"/>
    </row>
    <row r="593" spans="1:16" x14ac:dyDescent="0.3">
      <c r="A593" s="2" t="s">
        <v>1158</v>
      </c>
      <c r="B593" s="5" t="s">
        <v>1656</v>
      </c>
      <c r="C593" s="2" t="s">
        <v>103</v>
      </c>
      <c r="D593" s="2" t="s">
        <v>352</v>
      </c>
      <c r="E593" s="2">
        <v>3</v>
      </c>
      <c r="F593" s="2">
        <v>5547</v>
      </c>
      <c r="G593" s="2" t="s">
        <v>565</v>
      </c>
      <c r="H593" s="2" t="str">
        <f t="shared" si="9"/>
        <v>("ORD-00592","2025-11-01","HOM-APP-102","CX-108",3,5547,"NetBanking"),</v>
      </c>
      <c r="N593" s="2"/>
      <c r="P593" s="4"/>
    </row>
    <row r="594" spans="1:16" x14ac:dyDescent="0.3">
      <c r="A594" s="2" t="s">
        <v>1159</v>
      </c>
      <c r="B594" s="5" t="s">
        <v>1719</v>
      </c>
      <c r="C594" s="2" t="s">
        <v>54</v>
      </c>
      <c r="D594" s="2" t="s">
        <v>387</v>
      </c>
      <c r="E594" s="2">
        <v>4</v>
      </c>
      <c r="F594" s="2">
        <v>32208</v>
      </c>
      <c r="G594" s="2" t="s">
        <v>563</v>
      </c>
      <c r="H594" s="2" t="str">
        <f t="shared" si="9"/>
        <v>("ORD-00593","2025-03-20","FAS-WOM-053","CX-091",4,32208,"Cash"),</v>
      </c>
      <c r="N594" s="2"/>
      <c r="P594" s="4"/>
    </row>
    <row r="595" spans="1:16" x14ac:dyDescent="0.3">
      <c r="A595" s="2" t="s">
        <v>1160</v>
      </c>
      <c r="B595" s="5" t="s">
        <v>1689</v>
      </c>
      <c r="C595" s="2" t="s">
        <v>23</v>
      </c>
      <c r="D595" s="2" t="s">
        <v>429</v>
      </c>
      <c r="E595" s="2">
        <v>2</v>
      </c>
      <c r="F595" s="2">
        <v>39386</v>
      </c>
      <c r="G595" s="2" t="s">
        <v>567</v>
      </c>
      <c r="H595" s="2" t="str">
        <f t="shared" si="9"/>
        <v>("ORD-00594","2024-12-16","ELE-ACC-022","CX-069",2,39386,"Wallet"),</v>
      </c>
      <c r="N595" s="2"/>
      <c r="P595" s="4"/>
    </row>
    <row r="596" spans="1:16" x14ac:dyDescent="0.3">
      <c r="A596" s="2" t="s">
        <v>1161</v>
      </c>
      <c r="B596" s="5" t="s">
        <v>1853</v>
      </c>
      <c r="C596" s="2" t="s">
        <v>28</v>
      </c>
      <c r="D596" s="2" t="s">
        <v>527</v>
      </c>
      <c r="E596" s="2">
        <v>3</v>
      </c>
      <c r="F596" s="2">
        <v>97311</v>
      </c>
      <c r="G596" s="2" t="s">
        <v>567</v>
      </c>
      <c r="H596" s="2" t="str">
        <f t="shared" si="9"/>
        <v>("ORD-00595","2025-01-09","ELE-ACC-027","CX-016",3,97311,"Wallet"),</v>
      </c>
      <c r="N596" s="2"/>
      <c r="P596" s="4"/>
    </row>
    <row r="597" spans="1:16" x14ac:dyDescent="0.3">
      <c r="A597" s="2" t="s">
        <v>1162</v>
      </c>
      <c r="B597" s="5" t="s">
        <v>1749</v>
      </c>
      <c r="C597" s="2" t="s">
        <v>51</v>
      </c>
      <c r="D597" s="2" t="s">
        <v>447</v>
      </c>
      <c r="E597" s="2">
        <v>1</v>
      </c>
      <c r="F597" s="2">
        <v>16046</v>
      </c>
      <c r="G597" s="2" t="s">
        <v>572</v>
      </c>
      <c r="H597" s="2" t="str">
        <f t="shared" si="9"/>
        <v>("ORD-00596","2025-07-14","FAS-MEN-050","CX-059",1,16046,"Card"),</v>
      </c>
      <c r="N597" s="2"/>
      <c r="P597" s="4"/>
    </row>
    <row r="598" spans="1:16" x14ac:dyDescent="0.3">
      <c r="A598" s="2" t="s">
        <v>1163</v>
      </c>
      <c r="B598" s="5" t="s">
        <v>1860</v>
      </c>
      <c r="C598" s="2" t="s">
        <v>64</v>
      </c>
      <c r="D598" s="2" t="s">
        <v>422</v>
      </c>
      <c r="E598" s="2">
        <v>3</v>
      </c>
      <c r="F598" s="2">
        <v>163110</v>
      </c>
      <c r="G598" s="2" t="s">
        <v>567</v>
      </c>
      <c r="H598" s="2" t="str">
        <f t="shared" si="9"/>
        <v>("ORD-00597","2025-07-20","FAS-KID-063","CX-073",3,163110,"Wallet"),</v>
      </c>
      <c r="N598" s="2"/>
      <c r="P598" s="4"/>
    </row>
    <row r="599" spans="1:16" x14ac:dyDescent="0.3">
      <c r="A599" s="2" t="s">
        <v>1164</v>
      </c>
      <c r="B599" s="5" t="s">
        <v>1757</v>
      </c>
      <c r="C599" s="2" t="s">
        <v>177</v>
      </c>
      <c r="D599" s="2" t="s">
        <v>499</v>
      </c>
      <c r="E599" s="2">
        <v>1</v>
      </c>
      <c r="F599" s="2">
        <v>12637</v>
      </c>
      <c r="G599" s="2" t="s">
        <v>565</v>
      </c>
      <c r="H599" s="2" t="str">
        <f t="shared" si="9"/>
        <v>("ORD-00598","2025-06-25","BEA-HAI-176","CX-031",1,12637,"NetBanking"),</v>
      </c>
      <c r="N599" s="2"/>
      <c r="P599" s="4"/>
    </row>
    <row r="600" spans="1:16" x14ac:dyDescent="0.3">
      <c r="A600" s="2" t="s">
        <v>1165</v>
      </c>
      <c r="B600" s="5" t="s">
        <v>1609</v>
      </c>
      <c r="C600" s="2" t="s">
        <v>100</v>
      </c>
      <c r="D600" s="2" t="s">
        <v>335</v>
      </c>
      <c r="E600" s="2">
        <v>5</v>
      </c>
      <c r="F600" s="2">
        <v>243645</v>
      </c>
      <c r="G600" s="2" t="s">
        <v>572</v>
      </c>
      <c r="H600" s="2" t="str">
        <f t="shared" si="9"/>
        <v>("ORD-00599","2025-10-06","HOM-DEC-099","CX-115",5,243645,"Card"),</v>
      </c>
      <c r="N600" s="2"/>
      <c r="P600" s="4"/>
    </row>
    <row r="601" spans="1:16" x14ac:dyDescent="0.3">
      <c r="A601" s="2" t="s">
        <v>1166</v>
      </c>
      <c r="B601" s="5" t="s">
        <v>1780</v>
      </c>
      <c r="C601" s="2" t="s">
        <v>58</v>
      </c>
      <c r="D601" s="2" t="s">
        <v>429</v>
      </c>
      <c r="E601" s="2">
        <v>2</v>
      </c>
      <c r="F601" s="2">
        <v>80664</v>
      </c>
      <c r="G601" s="2" t="s">
        <v>563</v>
      </c>
      <c r="H601" s="2" t="str">
        <f t="shared" si="9"/>
        <v>("ORD-00600","2025-05-09","FAS-WOM-057","CX-069",2,80664,"Cash"),</v>
      </c>
      <c r="N601" s="2"/>
      <c r="P601" s="4"/>
    </row>
    <row r="602" spans="1:16" x14ac:dyDescent="0.3">
      <c r="A602" s="2" t="s">
        <v>1167</v>
      </c>
      <c r="B602" s="5" t="s">
        <v>1861</v>
      </c>
      <c r="C602" s="2" t="s">
        <v>194</v>
      </c>
      <c r="D602" s="2" t="s">
        <v>503</v>
      </c>
      <c r="E602" s="2">
        <v>1</v>
      </c>
      <c r="F602" s="2">
        <v>29622</v>
      </c>
      <c r="G602" s="2" t="s">
        <v>570</v>
      </c>
      <c r="H602" s="2" t="str">
        <f t="shared" si="9"/>
        <v>("ORD-00601","2024-12-05","BEA-FRA-193","CX-029",1,29622,"UPI"),</v>
      </c>
      <c r="N602" s="2"/>
      <c r="P602" s="4"/>
    </row>
    <row r="603" spans="1:16" x14ac:dyDescent="0.3">
      <c r="A603" s="2" t="s">
        <v>1168</v>
      </c>
      <c r="B603" s="5" t="s">
        <v>1802</v>
      </c>
      <c r="C603" s="2" t="s">
        <v>153</v>
      </c>
      <c r="D603" s="2" t="s">
        <v>360</v>
      </c>
      <c r="E603" s="2">
        <v>5</v>
      </c>
      <c r="F603" s="2">
        <v>65865</v>
      </c>
      <c r="G603" s="2" t="s">
        <v>570</v>
      </c>
      <c r="H603" s="2" t="str">
        <f t="shared" si="9"/>
        <v>("ORD-00602","2025-01-07","SPO-ACC-152","CX-104",5,65865,"UPI"),</v>
      </c>
      <c r="N603" s="2"/>
      <c r="P603" s="4"/>
    </row>
    <row r="604" spans="1:16" x14ac:dyDescent="0.3">
      <c r="A604" s="2" t="s">
        <v>1169</v>
      </c>
      <c r="B604" s="5" t="s">
        <v>1665</v>
      </c>
      <c r="C604" s="2" t="s">
        <v>145</v>
      </c>
      <c r="D604" s="2" t="s">
        <v>447</v>
      </c>
      <c r="E604" s="2">
        <v>3</v>
      </c>
      <c r="F604" s="2">
        <v>99510</v>
      </c>
      <c r="G604" s="2" t="s">
        <v>567</v>
      </c>
      <c r="H604" s="2" t="str">
        <f t="shared" si="9"/>
        <v>("ORD-00603","2025-03-08","SPO-IND-144","CX-059",3,99510,"Wallet"),</v>
      </c>
      <c r="N604" s="2"/>
      <c r="P604" s="4"/>
    </row>
    <row r="605" spans="1:16" x14ac:dyDescent="0.3">
      <c r="A605" s="2" t="s">
        <v>1170</v>
      </c>
      <c r="B605" s="5" t="s">
        <v>1700</v>
      </c>
      <c r="C605" s="2" t="s">
        <v>171</v>
      </c>
      <c r="D605" s="2" t="s">
        <v>368</v>
      </c>
      <c r="E605" s="2">
        <v>2</v>
      </c>
      <c r="F605" s="2">
        <v>41714</v>
      </c>
      <c r="G605" s="2" t="s">
        <v>570</v>
      </c>
      <c r="H605" s="2" t="str">
        <f t="shared" si="9"/>
        <v>("ORD-00604","2025-09-02","BEA-SKI-170","CX-100",2,41714,"UPI"),</v>
      </c>
      <c r="N605" s="2"/>
      <c r="P605" s="4"/>
    </row>
    <row r="606" spans="1:16" x14ac:dyDescent="0.3">
      <c r="A606" s="2" t="s">
        <v>1171</v>
      </c>
      <c r="B606" s="5" t="s">
        <v>1862</v>
      </c>
      <c r="C606" s="2" t="s">
        <v>94</v>
      </c>
      <c r="D606" s="2" t="s">
        <v>324</v>
      </c>
      <c r="E606" s="2">
        <v>3</v>
      </c>
      <c r="F606" s="2">
        <v>87804</v>
      </c>
      <c r="G606" s="2" t="s">
        <v>563</v>
      </c>
      <c r="H606" s="2" t="str">
        <f t="shared" si="9"/>
        <v>("ORD-00605","2025-05-15","HOM-DEC-093","CX-118",3,87804,"Cash"),</v>
      </c>
      <c r="N606" s="2"/>
      <c r="P606" s="4"/>
    </row>
    <row r="607" spans="1:16" x14ac:dyDescent="0.3">
      <c r="A607" s="2" t="s">
        <v>1172</v>
      </c>
      <c r="B607" s="5" t="s">
        <v>1601</v>
      </c>
      <c r="C607" s="2" t="s">
        <v>17</v>
      </c>
      <c r="D607" s="2" t="s">
        <v>401</v>
      </c>
      <c r="E607" s="2">
        <v>5</v>
      </c>
      <c r="F607" s="2">
        <v>39795</v>
      </c>
      <c r="G607" s="2" t="s">
        <v>570</v>
      </c>
      <c r="H607" s="2" t="str">
        <f t="shared" si="9"/>
        <v>("ORD-00606","2025-08-22","ELE-LAP-016","CX-084",5,39795,"UPI"),</v>
      </c>
      <c r="N607" s="2"/>
      <c r="P607" s="4"/>
    </row>
    <row r="608" spans="1:16" x14ac:dyDescent="0.3">
      <c r="A608" s="2" t="s">
        <v>1173</v>
      </c>
      <c r="B608" s="5" t="s">
        <v>1863</v>
      </c>
      <c r="C608" s="2" t="s">
        <v>187</v>
      </c>
      <c r="D608" s="2" t="s">
        <v>342</v>
      </c>
      <c r="E608" s="2">
        <v>5</v>
      </c>
      <c r="F608" s="2">
        <v>70865</v>
      </c>
      <c r="G608" s="2" t="s">
        <v>572</v>
      </c>
      <c r="H608" s="2" t="str">
        <f t="shared" si="9"/>
        <v>("ORD-00607","2025-11-21","BEA-MAK-186","CX-112",5,70865,"Card"),</v>
      </c>
      <c r="N608" s="2"/>
      <c r="P608" s="4"/>
    </row>
    <row r="609" spans="1:16" x14ac:dyDescent="0.3">
      <c r="A609" s="2" t="s">
        <v>1174</v>
      </c>
      <c r="B609" s="5" t="s">
        <v>1585</v>
      </c>
      <c r="C609" s="2" t="s">
        <v>115</v>
      </c>
      <c r="D609" s="2" t="s">
        <v>378</v>
      </c>
      <c r="E609" s="2">
        <v>4</v>
      </c>
      <c r="F609" s="2">
        <v>133408</v>
      </c>
      <c r="G609" s="2" t="s">
        <v>572</v>
      </c>
      <c r="H609" s="2" t="str">
        <f t="shared" si="9"/>
        <v>("ORD-00608","2025-01-08","HOM-FUR-114","CX-095",4,133408,"Card"),</v>
      </c>
      <c r="N609" s="2"/>
      <c r="P609" s="4"/>
    </row>
    <row r="610" spans="1:16" x14ac:dyDescent="0.3">
      <c r="A610" s="2" t="s">
        <v>1175</v>
      </c>
      <c r="B610" s="5" t="s">
        <v>1864</v>
      </c>
      <c r="C610" s="2" t="s">
        <v>44</v>
      </c>
      <c r="D610" s="2" t="s">
        <v>473</v>
      </c>
      <c r="E610" s="2">
        <v>2</v>
      </c>
      <c r="F610" s="2">
        <v>25330</v>
      </c>
      <c r="G610" s="2" t="s">
        <v>567</v>
      </c>
      <c r="H610" s="2" t="str">
        <f t="shared" si="9"/>
        <v>("ORD-00609","2025-01-26","FAS-MEN-043","CX-045",2,25330,"Wallet"),</v>
      </c>
      <c r="N610" s="2"/>
      <c r="P610" s="4"/>
    </row>
    <row r="611" spans="1:16" x14ac:dyDescent="0.3">
      <c r="A611" s="2" t="s">
        <v>1176</v>
      </c>
      <c r="B611" s="5" t="s">
        <v>1681</v>
      </c>
      <c r="C611" s="2" t="s">
        <v>100</v>
      </c>
      <c r="D611" s="2" t="s">
        <v>445</v>
      </c>
      <c r="E611" s="2">
        <v>4</v>
      </c>
      <c r="F611" s="2">
        <v>194916</v>
      </c>
      <c r="G611" s="2" t="s">
        <v>570</v>
      </c>
      <c r="H611" s="2" t="str">
        <f t="shared" si="9"/>
        <v>("ORD-00610","2025-11-12","HOM-DEC-099","CX-060",4,194916,"UPI"),</v>
      </c>
      <c r="N611" s="2"/>
      <c r="P611" s="4"/>
    </row>
    <row r="612" spans="1:16" x14ac:dyDescent="0.3">
      <c r="A612" s="2" t="s">
        <v>1177</v>
      </c>
      <c r="B612" s="5" t="s">
        <v>1591</v>
      </c>
      <c r="C612" s="2" t="s">
        <v>94</v>
      </c>
      <c r="D612" s="2" t="s">
        <v>337</v>
      </c>
      <c r="E612" s="2">
        <v>5</v>
      </c>
      <c r="F612" s="2">
        <v>146340</v>
      </c>
      <c r="G612" s="2" t="s">
        <v>563</v>
      </c>
      <c r="H612" s="2" t="str">
        <f t="shared" si="9"/>
        <v>("ORD-00611","2025-09-30","HOM-DEC-093","CX-114",5,146340,"Cash"),</v>
      </c>
      <c r="N612" s="2"/>
      <c r="P612" s="4"/>
    </row>
    <row r="613" spans="1:16" x14ac:dyDescent="0.3">
      <c r="A613" s="2" t="s">
        <v>1178</v>
      </c>
      <c r="B613" s="5" t="s">
        <v>1865</v>
      </c>
      <c r="C613" s="2" t="s">
        <v>186</v>
      </c>
      <c r="D613" s="2" t="s">
        <v>473</v>
      </c>
      <c r="E613" s="2">
        <v>1</v>
      </c>
      <c r="F613" s="2">
        <v>37153</v>
      </c>
      <c r="G613" s="2" t="s">
        <v>572</v>
      </c>
      <c r="H613" s="2" t="str">
        <f t="shared" si="9"/>
        <v>("ORD-00612","2025-02-06","BEA-MAK-185","CX-045",1,37153,"Card"),</v>
      </c>
      <c r="N613" s="2"/>
      <c r="P613" s="4"/>
    </row>
    <row r="614" spans="1:16" x14ac:dyDescent="0.3">
      <c r="A614" s="2" t="s">
        <v>1179</v>
      </c>
      <c r="B614" s="5" t="s">
        <v>1689</v>
      </c>
      <c r="C614" s="2" t="s">
        <v>173</v>
      </c>
      <c r="D614" s="2" t="s">
        <v>475</v>
      </c>
      <c r="E614" s="2">
        <v>1</v>
      </c>
      <c r="F614" s="2">
        <v>27917</v>
      </c>
      <c r="G614" s="2" t="s">
        <v>572</v>
      </c>
      <c r="H614" s="2" t="str">
        <f t="shared" si="9"/>
        <v>("ORD-00613","2024-12-16","BEA-HAI-172","CX-044",1,27917,"Card"),</v>
      </c>
      <c r="N614" s="2"/>
      <c r="P614" s="4"/>
    </row>
    <row r="615" spans="1:16" x14ac:dyDescent="0.3">
      <c r="A615" s="2" t="s">
        <v>1180</v>
      </c>
      <c r="B615" s="5" t="s">
        <v>1728</v>
      </c>
      <c r="C615" s="2" t="s">
        <v>115</v>
      </c>
      <c r="D615" s="2" t="s">
        <v>354</v>
      </c>
      <c r="E615" s="2">
        <v>5</v>
      </c>
      <c r="F615" s="2">
        <v>166760</v>
      </c>
      <c r="G615" s="2" t="s">
        <v>565</v>
      </c>
      <c r="H615" s="2" t="str">
        <f t="shared" si="9"/>
        <v>("ORD-00614","2025-09-10","HOM-FUR-114","CX-107",5,166760,"NetBanking"),</v>
      </c>
      <c r="N615" s="2"/>
      <c r="P615" s="4"/>
    </row>
    <row r="616" spans="1:16" x14ac:dyDescent="0.3">
      <c r="A616" s="2" t="s">
        <v>1181</v>
      </c>
      <c r="B616" s="5" t="s">
        <v>1707</v>
      </c>
      <c r="C616" s="2" t="s">
        <v>36</v>
      </c>
      <c r="D616" s="2" t="s">
        <v>544</v>
      </c>
      <c r="E616" s="2">
        <v>2</v>
      </c>
      <c r="F616" s="2">
        <v>49484</v>
      </c>
      <c r="G616" s="2" t="s">
        <v>565</v>
      </c>
      <c r="H616" s="2" t="str">
        <f t="shared" si="9"/>
        <v>("ORD-00615","2024-12-13","ELE-CAM-035","CX-007",2,49484,"NetBanking"),</v>
      </c>
      <c r="N616" s="2"/>
      <c r="P616" s="4"/>
    </row>
    <row r="617" spans="1:16" x14ac:dyDescent="0.3">
      <c r="A617" s="2" t="s">
        <v>1182</v>
      </c>
      <c r="B617" s="5" t="s">
        <v>1806</v>
      </c>
      <c r="C617" s="2" t="s">
        <v>152</v>
      </c>
      <c r="D617" s="2" t="s">
        <v>448</v>
      </c>
      <c r="E617" s="2">
        <v>1</v>
      </c>
      <c r="F617" s="2">
        <v>46741</v>
      </c>
      <c r="G617" s="2" t="s">
        <v>572</v>
      </c>
      <c r="H617" s="2" t="str">
        <f t="shared" si="9"/>
        <v>("ORD-00616","2024-12-11","SPO-ACC-151","CX-058",1,46741,"Card"),</v>
      </c>
      <c r="N617" s="2"/>
      <c r="P617" s="4"/>
    </row>
    <row r="618" spans="1:16" x14ac:dyDescent="0.3">
      <c r="A618" s="2" t="s">
        <v>1183</v>
      </c>
      <c r="B618" s="5" t="s">
        <v>1597</v>
      </c>
      <c r="C618" s="2" t="s">
        <v>188</v>
      </c>
      <c r="D618" s="2" t="s">
        <v>479</v>
      </c>
      <c r="E618" s="2">
        <v>4</v>
      </c>
      <c r="F618" s="2">
        <v>138076</v>
      </c>
      <c r="G618" s="2" t="s">
        <v>572</v>
      </c>
      <c r="H618" s="2" t="str">
        <f t="shared" si="9"/>
        <v>("ORD-00617","2025-05-17","BEA-MAK-187","CX-042",4,138076,"Card"),</v>
      </c>
      <c r="N618" s="2"/>
      <c r="P618" s="4"/>
    </row>
    <row r="619" spans="1:16" x14ac:dyDescent="0.3">
      <c r="A619" s="2" t="s">
        <v>1184</v>
      </c>
      <c r="B619" s="5" t="s">
        <v>1615</v>
      </c>
      <c r="C619" s="2" t="s">
        <v>154</v>
      </c>
      <c r="D619" s="2" t="s">
        <v>518</v>
      </c>
      <c r="E619" s="2">
        <v>3</v>
      </c>
      <c r="F619" s="2">
        <v>31788</v>
      </c>
      <c r="G619" s="2" t="s">
        <v>572</v>
      </c>
      <c r="H619" s="2" t="str">
        <f t="shared" si="9"/>
        <v>("ORD-00618","2025-03-07","SPO-ACC-153","CX-021",3,31788,"Card"),</v>
      </c>
      <c r="N619" s="2"/>
      <c r="P619" s="4"/>
    </row>
    <row r="620" spans="1:16" x14ac:dyDescent="0.3">
      <c r="A620" s="2" t="s">
        <v>1185</v>
      </c>
      <c r="B620" s="5" t="s">
        <v>1828</v>
      </c>
      <c r="C620" s="2" t="s">
        <v>158</v>
      </c>
      <c r="D620" s="2" t="s">
        <v>486</v>
      </c>
      <c r="E620" s="2">
        <v>5</v>
      </c>
      <c r="F620" s="2">
        <v>94900</v>
      </c>
      <c r="G620" s="2" t="s">
        <v>563</v>
      </c>
      <c r="H620" s="2" t="str">
        <f t="shared" si="9"/>
        <v>("ORD-00619","2025-06-27","SPO-ACC-157","CX-038",5,94900,"Cash"),</v>
      </c>
      <c r="N620" s="2"/>
      <c r="P620" s="4"/>
    </row>
    <row r="621" spans="1:16" x14ac:dyDescent="0.3">
      <c r="A621" s="2" t="s">
        <v>1186</v>
      </c>
      <c r="B621" s="5" t="s">
        <v>1756</v>
      </c>
      <c r="C621" s="2" t="s">
        <v>163</v>
      </c>
      <c r="D621" s="2" t="s">
        <v>410</v>
      </c>
      <c r="E621" s="2">
        <v>4</v>
      </c>
      <c r="F621" s="2">
        <v>229548</v>
      </c>
      <c r="G621" s="2" t="s">
        <v>567</v>
      </c>
      <c r="H621" s="2" t="str">
        <f t="shared" si="9"/>
        <v>("ORD-00620","2025-04-04","BEA-SKI-162","CX-079",4,229548,"Wallet"),</v>
      </c>
      <c r="N621" s="2"/>
      <c r="P621" s="4"/>
    </row>
    <row r="622" spans="1:16" x14ac:dyDescent="0.3">
      <c r="A622" s="2" t="s">
        <v>1187</v>
      </c>
      <c r="B622" s="5" t="s">
        <v>1855</v>
      </c>
      <c r="C622" s="2" t="s">
        <v>117</v>
      </c>
      <c r="D622" s="2" t="s">
        <v>533</v>
      </c>
      <c r="E622" s="2">
        <v>1</v>
      </c>
      <c r="F622" s="2">
        <v>56787</v>
      </c>
      <c r="G622" s="2" t="s">
        <v>570</v>
      </c>
      <c r="H622" s="2" t="str">
        <f t="shared" si="9"/>
        <v>("ORD-00621","2024-12-29","HOM-FUR-116","CX-013",1,56787,"UPI"),</v>
      </c>
      <c r="N622" s="2"/>
      <c r="P622" s="4"/>
    </row>
    <row r="623" spans="1:16" x14ac:dyDescent="0.3">
      <c r="A623" s="2" t="s">
        <v>1188</v>
      </c>
      <c r="B623" s="5" t="s">
        <v>1789</v>
      </c>
      <c r="C623" s="2" t="s">
        <v>63</v>
      </c>
      <c r="D623" s="2" t="s">
        <v>513</v>
      </c>
      <c r="E623" s="2">
        <v>4</v>
      </c>
      <c r="F623" s="2">
        <v>178568</v>
      </c>
      <c r="G623" s="2" t="s">
        <v>570</v>
      </c>
      <c r="H623" s="2" t="str">
        <f t="shared" si="9"/>
        <v>("ORD-00622","2024-12-04","FAS-KID-062","CX-024",4,178568,"UPI"),</v>
      </c>
      <c r="N623" s="2"/>
      <c r="P623" s="4"/>
    </row>
    <row r="624" spans="1:16" x14ac:dyDescent="0.3">
      <c r="A624" s="2" t="s">
        <v>1189</v>
      </c>
      <c r="B624" s="5" t="s">
        <v>1597</v>
      </c>
      <c r="C624" s="2" t="s">
        <v>166</v>
      </c>
      <c r="D624" s="2" t="s">
        <v>525</v>
      </c>
      <c r="E624" s="2">
        <v>2</v>
      </c>
      <c r="F624" s="2">
        <v>79284</v>
      </c>
      <c r="G624" s="2" t="s">
        <v>563</v>
      </c>
      <c r="H624" s="2" t="str">
        <f t="shared" si="9"/>
        <v>("ORD-00623","2025-05-17","BEA-SKI-165","CX-017",2,79284,"Cash"),</v>
      </c>
      <c r="N624" s="2"/>
      <c r="P624" s="4"/>
    </row>
    <row r="625" spans="1:16" x14ac:dyDescent="0.3">
      <c r="A625" s="2" t="s">
        <v>1190</v>
      </c>
      <c r="B625" s="5" t="s">
        <v>1866</v>
      </c>
      <c r="C625" s="2" t="s">
        <v>45</v>
      </c>
      <c r="D625" s="2" t="s">
        <v>479</v>
      </c>
      <c r="E625" s="2">
        <v>4</v>
      </c>
      <c r="F625" s="2">
        <v>194476</v>
      </c>
      <c r="G625" s="2" t="s">
        <v>565</v>
      </c>
      <c r="H625" s="2" t="str">
        <f t="shared" si="9"/>
        <v>("ORD-00624","2024-12-24","FAS-MEN-044","CX-042",4,194476,"NetBanking"),</v>
      </c>
      <c r="N625" s="2"/>
      <c r="P625" s="4"/>
    </row>
    <row r="626" spans="1:16" x14ac:dyDescent="0.3">
      <c r="A626" s="2" t="s">
        <v>1191</v>
      </c>
      <c r="B626" s="5" t="s">
        <v>1854</v>
      </c>
      <c r="C626" s="2" t="s">
        <v>42</v>
      </c>
      <c r="D626" s="2" t="s">
        <v>489</v>
      </c>
      <c r="E626" s="2">
        <v>3</v>
      </c>
      <c r="F626" s="2">
        <v>89043</v>
      </c>
      <c r="G626" s="2" t="s">
        <v>572</v>
      </c>
      <c r="H626" s="2" t="str">
        <f t="shared" si="9"/>
        <v>("ORD-00625","2025-10-22","FAS-MEN-041","CX-036",3,89043,"Card"),</v>
      </c>
      <c r="N626" s="2"/>
      <c r="P626" s="4"/>
    </row>
    <row r="627" spans="1:16" x14ac:dyDescent="0.3">
      <c r="A627" s="2" t="s">
        <v>1192</v>
      </c>
      <c r="B627" s="5" t="s">
        <v>1866</v>
      </c>
      <c r="C627" s="2" t="s">
        <v>62</v>
      </c>
      <c r="D627" s="2" t="s">
        <v>322</v>
      </c>
      <c r="E627" s="2">
        <v>5</v>
      </c>
      <c r="F627" s="2">
        <v>76015</v>
      </c>
      <c r="G627" s="2" t="s">
        <v>565</v>
      </c>
      <c r="H627" s="2" t="str">
        <f t="shared" si="9"/>
        <v>("ORD-00626","2024-12-24","FAS-KID-061","CX-119",5,76015,"NetBanking"),</v>
      </c>
      <c r="N627" s="2"/>
      <c r="P627" s="4"/>
    </row>
    <row r="628" spans="1:16" x14ac:dyDescent="0.3">
      <c r="A628" s="2" t="s">
        <v>1193</v>
      </c>
      <c r="B628" s="5" t="s">
        <v>1702</v>
      </c>
      <c r="C628" s="2" t="s">
        <v>77</v>
      </c>
      <c r="D628" s="2" t="s">
        <v>450</v>
      </c>
      <c r="E628" s="2">
        <v>4</v>
      </c>
      <c r="F628" s="2">
        <v>121820</v>
      </c>
      <c r="G628" s="2" t="s">
        <v>570</v>
      </c>
      <c r="H628" s="2" t="str">
        <f t="shared" si="9"/>
        <v>("ORD-00627","2025-04-08","FAS-FOO-076","CX-057",4,121820,"UPI"),</v>
      </c>
      <c r="N628" s="2"/>
      <c r="P628" s="4"/>
    </row>
    <row r="629" spans="1:16" x14ac:dyDescent="0.3">
      <c r="A629" s="2" t="s">
        <v>1194</v>
      </c>
      <c r="B629" s="5" t="s">
        <v>1641</v>
      </c>
      <c r="C629" s="2" t="s">
        <v>4</v>
      </c>
      <c r="D629" s="2" t="s">
        <v>426</v>
      </c>
      <c r="E629" s="2">
        <v>5</v>
      </c>
      <c r="F629" s="2">
        <v>99300</v>
      </c>
      <c r="G629" s="2" t="s">
        <v>565</v>
      </c>
      <c r="H629" s="2" t="str">
        <f t="shared" si="9"/>
        <v>("ORD-00628","2025-11-06","ELE-MOB-003","CX-071",5,99300,"NetBanking"),</v>
      </c>
      <c r="N629" s="2"/>
      <c r="P629" s="4"/>
    </row>
    <row r="630" spans="1:16" x14ac:dyDescent="0.3">
      <c r="A630" s="2" t="s">
        <v>1195</v>
      </c>
      <c r="B630" s="5" t="s">
        <v>1747</v>
      </c>
      <c r="C630" s="2" t="s">
        <v>22</v>
      </c>
      <c r="D630" s="2" t="s">
        <v>437</v>
      </c>
      <c r="E630" s="2">
        <v>2</v>
      </c>
      <c r="F630" s="2">
        <v>81944</v>
      </c>
      <c r="G630" s="2" t="s">
        <v>567</v>
      </c>
      <c r="H630" s="2" t="str">
        <f t="shared" si="9"/>
        <v>("ORD-00629","2025-07-04","ELE-ACC-021","CX-064",2,81944,"Wallet"),</v>
      </c>
      <c r="N630" s="2"/>
      <c r="P630" s="4"/>
    </row>
    <row r="631" spans="1:16" x14ac:dyDescent="0.3">
      <c r="A631" s="2" t="s">
        <v>1196</v>
      </c>
      <c r="B631" s="5" t="s">
        <v>1625</v>
      </c>
      <c r="C631" s="2" t="s">
        <v>154</v>
      </c>
      <c r="D631" s="2" t="s">
        <v>513</v>
      </c>
      <c r="E631" s="2">
        <v>1</v>
      </c>
      <c r="F631" s="2">
        <v>10596</v>
      </c>
      <c r="G631" s="2" t="s">
        <v>570</v>
      </c>
      <c r="H631" s="2" t="str">
        <f t="shared" si="9"/>
        <v>("ORD-00630","2025-01-11","SPO-ACC-153","CX-024",1,10596,"UPI"),</v>
      </c>
      <c r="N631" s="2"/>
      <c r="P631" s="4"/>
    </row>
    <row r="632" spans="1:16" x14ac:dyDescent="0.3">
      <c r="A632" s="2" t="s">
        <v>1197</v>
      </c>
      <c r="B632" s="5" t="s">
        <v>1856</v>
      </c>
      <c r="C632" s="2" t="s">
        <v>93</v>
      </c>
      <c r="D632" s="2" t="s">
        <v>479</v>
      </c>
      <c r="E632" s="2">
        <v>3</v>
      </c>
      <c r="F632" s="2">
        <v>5721</v>
      </c>
      <c r="G632" s="2" t="s">
        <v>563</v>
      </c>
      <c r="H632" s="2" t="str">
        <f t="shared" si="9"/>
        <v>("ORD-00631","2025-08-30","HOM-DEC-092","CX-042",3,5721,"Cash"),</v>
      </c>
      <c r="N632" s="2"/>
      <c r="P632" s="4"/>
    </row>
    <row r="633" spans="1:16" x14ac:dyDescent="0.3">
      <c r="A633" s="2" t="s">
        <v>1198</v>
      </c>
      <c r="B633" s="5" t="s">
        <v>1866</v>
      </c>
      <c r="C633" s="2" t="s">
        <v>55</v>
      </c>
      <c r="D633" s="2" t="s">
        <v>499</v>
      </c>
      <c r="E633" s="2">
        <v>5</v>
      </c>
      <c r="F633" s="2">
        <v>18770</v>
      </c>
      <c r="G633" s="2" t="s">
        <v>567</v>
      </c>
      <c r="H633" s="2" t="str">
        <f t="shared" si="9"/>
        <v>("ORD-00632","2024-12-24","FAS-WOM-054","CX-031",5,18770,"Wallet"),</v>
      </c>
      <c r="N633" s="2"/>
      <c r="P633" s="4"/>
    </row>
    <row r="634" spans="1:16" x14ac:dyDescent="0.3">
      <c r="A634" s="2" t="s">
        <v>1199</v>
      </c>
      <c r="B634" s="5" t="s">
        <v>1652</v>
      </c>
      <c r="C634" s="2" t="s">
        <v>38</v>
      </c>
      <c r="D634" s="2" t="s">
        <v>493</v>
      </c>
      <c r="E634" s="2">
        <v>2</v>
      </c>
      <c r="F634" s="2">
        <v>22324</v>
      </c>
      <c r="G634" s="2" t="s">
        <v>567</v>
      </c>
      <c r="H634" s="2" t="str">
        <f t="shared" si="9"/>
        <v>("ORD-00633","2025-08-31","ELE-CAM-037","CX-034",2,22324,"Wallet"),</v>
      </c>
      <c r="N634" s="2"/>
      <c r="P634" s="4"/>
    </row>
    <row r="635" spans="1:16" x14ac:dyDescent="0.3">
      <c r="A635" s="2" t="s">
        <v>1200</v>
      </c>
      <c r="B635" s="5" t="s">
        <v>1867</v>
      </c>
      <c r="C635" s="2" t="s">
        <v>102</v>
      </c>
      <c r="D635" s="2" t="s">
        <v>374</v>
      </c>
      <c r="E635" s="2">
        <v>1</v>
      </c>
      <c r="F635" s="2">
        <v>52733</v>
      </c>
      <c r="G635" s="2" t="s">
        <v>570</v>
      </c>
      <c r="H635" s="2" t="str">
        <f t="shared" si="9"/>
        <v>("ORD-00634","2025-10-27","HOM-APP-101","CX-097",1,52733,"UPI"),</v>
      </c>
      <c r="N635" s="2"/>
      <c r="P635" s="4"/>
    </row>
    <row r="636" spans="1:16" x14ac:dyDescent="0.3">
      <c r="A636" s="2" t="s">
        <v>1201</v>
      </c>
      <c r="B636" s="5" t="s">
        <v>1683</v>
      </c>
      <c r="C636" s="2" t="s">
        <v>177</v>
      </c>
      <c r="D636" s="2" t="s">
        <v>529</v>
      </c>
      <c r="E636" s="2">
        <v>3</v>
      </c>
      <c r="F636" s="2">
        <v>37911</v>
      </c>
      <c r="G636" s="2" t="s">
        <v>563</v>
      </c>
      <c r="H636" s="2" t="str">
        <f t="shared" si="9"/>
        <v>("ORD-00635","2025-08-04","BEA-HAI-176","CX-015",3,37911,"Cash"),</v>
      </c>
      <c r="N636" s="2"/>
      <c r="P636" s="4"/>
    </row>
    <row r="637" spans="1:16" x14ac:dyDescent="0.3">
      <c r="A637" s="2" t="s">
        <v>1202</v>
      </c>
      <c r="B637" s="5" t="s">
        <v>1868</v>
      </c>
      <c r="C637" s="2" t="s">
        <v>58</v>
      </c>
      <c r="D637" s="2" t="s">
        <v>497</v>
      </c>
      <c r="E637" s="2">
        <v>2</v>
      </c>
      <c r="F637" s="2">
        <v>80664</v>
      </c>
      <c r="G637" s="2" t="s">
        <v>567</v>
      </c>
      <c r="H637" s="2" t="str">
        <f t="shared" si="9"/>
        <v>("ORD-00636","2025-08-23","FAS-WOM-057","CX-032",2,80664,"Wallet"),</v>
      </c>
      <c r="N637" s="2"/>
      <c r="P637" s="4"/>
    </row>
    <row r="638" spans="1:16" x14ac:dyDescent="0.3">
      <c r="A638" s="2" t="s">
        <v>1203</v>
      </c>
      <c r="B638" s="5" t="s">
        <v>1577</v>
      </c>
      <c r="C638" s="2" t="s">
        <v>118</v>
      </c>
      <c r="D638" s="2" t="s">
        <v>477</v>
      </c>
      <c r="E638" s="2">
        <v>3</v>
      </c>
      <c r="F638" s="2">
        <v>8697</v>
      </c>
      <c r="G638" s="2" t="s">
        <v>570</v>
      </c>
      <c r="H638" s="2" t="str">
        <f t="shared" si="9"/>
        <v>("ORD-00637","2025-03-25","HOM-FUR-117","CX-043",3,8697,"UPI"),</v>
      </c>
      <c r="N638" s="2"/>
      <c r="P638" s="4"/>
    </row>
    <row r="639" spans="1:16" x14ac:dyDescent="0.3">
      <c r="A639" s="2" t="s">
        <v>1204</v>
      </c>
      <c r="B639" s="5" t="s">
        <v>1663</v>
      </c>
      <c r="C639" s="2" t="s">
        <v>55</v>
      </c>
      <c r="D639" s="2" t="s">
        <v>382</v>
      </c>
      <c r="E639" s="2">
        <v>2</v>
      </c>
      <c r="F639" s="2">
        <v>7508</v>
      </c>
      <c r="G639" s="2" t="s">
        <v>563</v>
      </c>
      <c r="H639" s="2" t="str">
        <f t="shared" si="9"/>
        <v>("ORD-00638","2025-01-18","FAS-WOM-054","CX-093",2,7508,"Cash"),</v>
      </c>
      <c r="N639" s="2"/>
      <c r="P639" s="4"/>
    </row>
    <row r="640" spans="1:16" x14ac:dyDescent="0.3">
      <c r="A640" s="2" t="s">
        <v>1205</v>
      </c>
      <c r="B640" s="5" t="s">
        <v>1720</v>
      </c>
      <c r="C640" s="2" t="s">
        <v>76</v>
      </c>
      <c r="D640" s="2" t="s">
        <v>437</v>
      </c>
      <c r="E640" s="2">
        <v>3</v>
      </c>
      <c r="F640" s="2">
        <v>146346</v>
      </c>
      <c r="G640" s="2" t="s">
        <v>565</v>
      </c>
      <c r="H640" s="2" t="str">
        <f t="shared" si="9"/>
        <v>("ORD-00639","2025-08-20","FAS-FOO-075","CX-064",3,146346,"NetBanking"),</v>
      </c>
      <c r="N640" s="2"/>
      <c r="P640" s="4"/>
    </row>
    <row r="641" spans="1:16" x14ac:dyDescent="0.3">
      <c r="A641" s="2" t="s">
        <v>1206</v>
      </c>
      <c r="B641" s="5" t="s">
        <v>1869</v>
      </c>
      <c r="C641" s="2" t="s">
        <v>176</v>
      </c>
      <c r="D641" s="2" t="s">
        <v>436</v>
      </c>
      <c r="E641" s="2">
        <v>5</v>
      </c>
      <c r="F641" s="2">
        <v>132025</v>
      </c>
      <c r="G641" s="2" t="s">
        <v>567</v>
      </c>
      <c r="H641" s="2" t="str">
        <f t="shared" si="9"/>
        <v>("ORD-00640","2025-06-06","BEA-HAI-175","CX-065",5,132025,"Wallet"),</v>
      </c>
      <c r="N641" s="2"/>
      <c r="P641" s="4"/>
    </row>
    <row r="642" spans="1:16" x14ac:dyDescent="0.3">
      <c r="A642" s="2" t="s">
        <v>1207</v>
      </c>
      <c r="B642" s="5" t="s">
        <v>1830</v>
      </c>
      <c r="C642" s="2" t="s">
        <v>116</v>
      </c>
      <c r="D642" s="2" t="s">
        <v>350</v>
      </c>
      <c r="E642" s="2">
        <v>2</v>
      </c>
      <c r="F642" s="2">
        <v>103624</v>
      </c>
      <c r="G642" s="2" t="s">
        <v>563</v>
      </c>
      <c r="H642" s="2" t="str">
        <f t="shared" si="9"/>
        <v>("ORD-00641","2025-11-22","HOM-FUR-115","CX-109",2,103624,"Cash"),</v>
      </c>
      <c r="N642" s="2"/>
      <c r="P642" s="4"/>
    </row>
    <row r="643" spans="1:16" x14ac:dyDescent="0.3">
      <c r="A643" s="2" t="s">
        <v>1208</v>
      </c>
      <c r="B643" s="5" t="s">
        <v>1702</v>
      </c>
      <c r="C643" s="2" t="s">
        <v>55</v>
      </c>
      <c r="D643" s="2" t="s">
        <v>486</v>
      </c>
      <c r="E643" s="2">
        <v>3</v>
      </c>
      <c r="F643" s="2">
        <v>11262</v>
      </c>
      <c r="G643" s="2" t="s">
        <v>563</v>
      </c>
      <c r="H643" s="2" t="str">
        <f t="shared" ref="H643:H706" si="10">"("""&amp;A643&amp;""","""&amp;B643&amp;""","""&amp;C643&amp;""","""&amp;D643&amp;""","&amp;E643&amp;","&amp;F643&amp;","""&amp;G643&amp;"""),"</f>
        <v>("ORD-00642","2025-04-08","FAS-WOM-054","CX-038",3,11262,"Cash"),</v>
      </c>
      <c r="N643" s="2"/>
      <c r="P643" s="4"/>
    </row>
    <row r="644" spans="1:16" x14ac:dyDescent="0.3">
      <c r="A644" s="2" t="s">
        <v>1209</v>
      </c>
      <c r="B644" s="5" t="s">
        <v>1870</v>
      </c>
      <c r="C644" s="2" t="s">
        <v>147</v>
      </c>
      <c r="D644" s="2" t="s">
        <v>544</v>
      </c>
      <c r="E644" s="2">
        <v>5</v>
      </c>
      <c r="F644" s="2">
        <v>188005</v>
      </c>
      <c r="G644" s="2" t="s">
        <v>563</v>
      </c>
      <c r="H644" s="2" t="str">
        <f t="shared" si="10"/>
        <v>("ORD-00643","2025-09-18","SPO-IND-146","CX-007",5,188005,"Cash"),</v>
      </c>
      <c r="N644" s="2"/>
      <c r="P644" s="4"/>
    </row>
    <row r="645" spans="1:16" x14ac:dyDescent="0.3">
      <c r="A645" s="2" t="s">
        <v>1210</v>
      </c>
      <c r="B645" s="5" t="s">
        <v>1649</v>
      </c>
      <c r="C645" s="2" t="s">
        <v>31</v>
      </c>
      <c r="D645" s="2" t="s">
        <v>525</v>
      </c>
      <c r="E645" s="2">
        <v>5</v>
      </c>
      <c r="F645" s="2">
        <v>190170</v>
      </c>
      <c r="G645" s="2" t="s">
        <v>565</v>
      </c>
      <c r="H645" s="2" t="str">
        <f t="shared" si="10"/>
        <v>("ORD-00644","2025-08-12","ELE-ACC-030","CX-017",5,190170,"NetBanking"),</v>
      </c>
      <c r="N645" s="2"/>
      <c r="P645" s="4"/>
    </row>
    <row r="646" spans="1:16" x14ac:dyDescent="0.3">
      <c r="A646" s="2" t="s">
        <v>1211</v>
      </c>
      <c r="B646" s="5" t="s">
        <v>1662</v>
      </c>
      <c r="C646" s="2" t="s">
        <v>81</v>
      </c>
      <c r="D646" s="2" t="s">
        <v>456</v>
      </c>
      <c r="E646" s="2">
        <v>4</v>
      </c>
      <c r="F646" s="2">
        <v>12276</v>
      </c>
      <c r="G646" s="2" t="s">
        <v>572</v>
      </c>
      <c r="H646" s="2" t="str">
        <f t="shared" si="10"/>
        <v>("ORD-00645","2025-01-21","FAS-FOO-080","CX-054",4,12276,"Card"),</v>
      </c>
      <c r="N646" s="2"/>
      <c r="P646" s="4"/>
    </row>
    <row r="647" spans="1:16" x14ac:dyDescent="0.3">
      <c r="A647" s="2" t="s">
        <v>1212</v>
      </c>
      <c r="B647" s="5" t="s">
        <v>1721</v>
      </c>
      <c r="C647" s="2" t="s">
        <v>168</v>
      </c>
      <c r="D647" s="2" t="s">
        <v>399</v>
      </c>
      <c r="E647" s="2">
        <v>3</v>
      </c>
      <c r="F647" s="2">
        <v>171561</v>
      </c>
      <c r="G647" s="2" t="s">
        <v>565</v>
      </c>
      <c r="H647" s="2" t="str">
        <f t="shared" si="10"/>
        <v>("ORD-00646","2025-06-13","BEA-SKI-167","CX-085",3,171561,"NetBanking"),</v>
      </c>
      <c r="N647" s="2"/>
      <c r="P647" s="4"/>
    </row>
    <row r="648" spans="1:16" x14ac:dyDescent="0.3">
      <c r="A648" s="2" t="s">
        <v>1213</v>
      </c>
      <c r="B648" s="5" t="s">
        <v>1843</v>
      </c>
      <c r="C648" s="2" t="s">
        <v>132</v>
      </c>
      <c r="D648" s="2" t="s">
        <v>445</v>
      </c>
      <c r="E648" s="2">
        <v>5</v>
      </c>
      <c r="F648" s="2">
        <v>287650</v>
      </c>
      <c r="G648" s="2" t="s">
        <v>563</v>
      </c>
      <c r="H648" s="2" t="str">
        <f t="shared" si="10"/>
        <v>("ORD-00647","2025-05-05","SPO-OUT-131","CX-060",5,287650,"Cash"),</v>
      </c>
      <c r="N648" s="2"/>
      <c r="P648" s="4"/>
    </row>
    <row r="649" spans="1:16" x14ac:dyDescent="0.3">
      <c r="A649" s="2" t="s">
        <v>1214</v>
      </c>
      <c r="B649" s="5" t="s">
        <v>1621</v>
      </c>
      <c r="C649" s="2" t="s">
        <v>10</v>
      </c>
      <c r="D649" s="2" t="s">
        <v>356</v>
      </c>
      <c r="E649" s="2">
        <v>4</v>
      </c>
      <c r="F649" s="2">
        <v>211612</v>
      </c>
      <c r="G649" s="2" t="s">
        <v>565</v>
      </c>
      <c r="H649" s="2" t="str">
        <f t="shared" si="10"/>
        <v>("ORD-00648","2025-04-22","ELE-MOB-009","CX-106",4,211612,"NetBanking"),</v>
      </c>
      <c r="N649" s="2"/>
      <c r="P649" s="4"/>
    </row>
    <row r="650" spans="1:16" x14ac:dyDescent="0.3">
      <c r="A650" s="2" t="s">
        <v>1215</v>
      </c>
      <c r="B650" s="5" t="s">
        <v>1869</v>
      </c>
      <c r="C650" s="2" t="s">
        <v>177</v>
      </c>
      <c r="D650" s="2" t="s">
        <v>464</v>
      </c>
      <c r="E650" s="2">
        <v>3</v>
      </c>
      <c r="F650" s="2">
        <v>37911</v>
      </c>
      <c r="G650" s="2" t="s">
        <v>563</v>
      </c>
      <c r="H650" s="2" t="str">
        <f t="shared" si="10"/>
        <v>("ORD-00649","2025-06-06","BEA-HAI-176","CX-050",3,37911,"Cash"),</v>
      </c>
      <c r="N650" s="2"/>
      <c r="P650" s="4"/>
    </row>
    <row r="651" spans="1:16" x14ac:dyDescent="0.3">
      <c r="A651" s="2" t="s">
        <v>1216</v>
      </c>
      <c r="B651" s="5" t="s">
        <v>1871</v>
      </c>
      <c r="C651" s="2" t="s">
        <v>137</v>
      </c>
      <c r="D651" s="2" t="s">
        <v>460</v>
      </c>
      <c r="E651" s="2">
        <v>5</v>
      </c>
      <c r="F651" s="2">
        <v>94455</v>
      </c>
      <c r="G651" s="2" t="s">
        <v>567</v>
      </c>
      <c r="H651" s="2" t="str">
        <f t="shared" si="10"/>
        <v>("ORD-00650","2025-11-04","SPO-OUT-136","CX-052",5,94455,"Wallet"),</v>
      </c>
      <c r="N651" s="2"/>
      <c r="P651" s="4"/>
    </row>
    <row r="652" spans="1:16" x14ac:dyDescent="0.3">
      <c r="A652" s="2" t="s">
        <v>1217</v>
      </c>
      <c r="B652" s="5" t="s">
        <v>1692</v>
      </c>
      <c r="C652" s="2" t="s">
        <v>119</v>
      </c>
      <c r="D652" s="2" t="s">
        <v>469</v>
      </c>
      <c r="E652" s="2">
        <v>4</v>
      </c>
      <c r="F652" s="2">
        <v>39168</v>
      </c>
      <c r="G652" s="2" t="s">
        <v>570</v>
      </c>
      <c r="H652" s="2" t="str">
        <f t="shared" si="10"/>
        <v>("ORD-00651","2025-02-15","HOM-FUR-118","CX-047",4,39168,"UPI"),</v>
      </c>
      <c r="N652" s="2"/>
      <c r="P652" s="4"/>
    </row>
    <row r="653" spans="1:16" x14ac:dyDescent="0.3">
      <c r="A653" s="2" t="s">
        <v>1218</v>
      </c>
      <c r="B653" s="5" t="s">
        <v>1787</v>
      </c>
      <c r="C653" s="2" t="s">
        <v>23</v>
      </c>
      <c r="D653" s="2" t="s">
        <v>529</v>
      </c>
      <c r="E653" s="2">
        <v>2</v>
      </c>
      <c r="F653" s="2">
        <v>39386</v>
      </c>
      <c r="G653" s="2" t="s">
        <v>567</v>
      </c>
      <c r="H653" s="2" t="str">
        <f t="shared" si="10"/>
        <v>("ORD-00652","2025-10-23","ELE-ACC-022","CX-015",2,39386,"Wallet"),</v>
      </c>
      <c r="N653" s="2"/>
      <c r="P653" s="4"/>
    </row>
    <row r="654" spans="1:16" x14ac:dyDescent="0.3">
      <c r="A654" s="2" t="s">
        <v>1219</v>
      </c>
      <c r="B654" s="5" t="s">
        <v>1872</v>
      </c>
      <c r="C654" s="2" t="s">
        <v>65</v>
      </c>
      <c r="D654" s="2" t="s">
        <v>350</v>
      </c>
      <c r="E654" s="2">
        <v>2</v>
      </c>
      <c r="F654" s="2">
        <v>14220</v>
      </c>
      <c r="G654" s="2" t="s">
        <v>563</v>
      </c>
      <c r="H654" s="2" t="str">
        <f t="shared" si="10"/>
        <v>("ORD-00653","2025-04-15","FAS-KID-064","CX-109",2,14220,"Cash"),</v>
      </c>
      <c r="N654" s="2"/>
      <c r="P654" s="4"/>
    </row>
    <row r="655" spans="1:16" x14ac:dyDescent="0.3">
      <c r="A655" s="2" t="s">
        <v>1220</v>
      </c>
      <c r="B655" s="5" t="s">
        <v>1641</v>
      </c>
      <c r="C655" s="2" t="s">
        <v>74</v>
      </c>
      <c r="D655" s="2" t="s">
        <v>414</v>
      </c>
      <c r="E655" s="2">
        <v>1</v>
      </c>
      <c r="F655" s="2">
        <v>4991</v>
      </c>
      <c r="G655" s="2" t="s">
        <v>570</v>
      </c>
      <c r="H655" s="2" t="str">
        <f t="shared" si="10"/>
        <v>("ORD-00654","2025-11-06","FAS-FOO-073","CX-077",1,4991,"UPI"),</v>
      </c>
      <c r="N655" s="2"/>
      <c r="P655" s="4"/>
    </row>
    <row r="656" spans="1:16" x14ac:dyDescent="0.3">
      <c r="A656" s="2" t="s">
        <v>1221</v>
      </c>
      <c r="B656" s="5" t="s">
        <v>1689</v>
      </c>
      <c r="C656" s="2" t="s">
        <v>35</v>
      </c>
      <c r="D656" s="2" t="s">
        <v>487</v>
      </c>
      <c r="E656" s="2">
        <v>2</v>
      </c>
      <c r="F656" s="2">
        <v>118558</v>
      </c>
      <c r="G656" s="2" t="s">
        <v>565</v>
      </c>
      <c r="H656" s="2" t="str">
        <f t="shared" si="10"/>
        <v>("ORD-00655","2024-12-16","ELE-CAM-034","CX-037",2,118558,"NetBanking"),</v>
      </c>
      <c r="N656" s="2"/>
      <c r="P656" s="4"/>
    </row>
    <row r="657" spans="1:16" x14ac:dyDescent="0.3">
      <c r="A657" s="2" t="s">
        <v>1222</v>
      </c>
      <c r="B657" s="5" t="s">
        <v>1759</v>
      </c>
      <c r="C657" s="2" t="s">
        <v>64</v>
      </c>
      <c r="D657" s="2" t="s">
        <v>420</v>
      </c>
      <c r="E657" s="2">
        <v>1</v>
      </c>
      <c r="F657" s="2">
        <v>54370</v>
      </c>
      <c r="G657" s="2" t="s">
        <v>572</v>
      </c>
      <c r="H657" s="2" t="str">
        <f t="shared" si="10"/>
        <v>("ORD-00656","2025-08-09","FAS-KID-063","CX-074",1,54370,"Card"),</v>
      </c>
      <c r="N657" s="2"/>
      <c r="P657" s="4"/>
    </row>
    <row r="658" spans="1:16" x14ac:dyDescent="0.3">
      <c r="A658" s="2" t="s">
        <v>1223</v>
      </c>
      <c r="B658" s="5" t="s">
        <v>1617</v>
      </c>
      <c r="C658" s="2" t="s">
        <v>16</v>
      </c>
      <c r="D658" s="2" t="s">
        <v>531</v>
      </c>
      <c r="E658" s="2">
        <v>1</v>
      </c>
      <c r="F658" s="2">
        <v>24573</v>
      </c>
      <c r="G658" s="2" t="s">
        <v>563</v>
      </c>
      <c r="H658" s="2" t="str">
        <f t="shared" si="10"/>
        <v>("ORD-00657","2025-11-03","ELE-LAP-015","CX-014",1,24573,"Cash"),</v>
      </c>
      <c r="N658" s="2"/>
      <c r="P658" s="4"/>
    </row>
    <row r="659" spans="1:16" x14ac:dyDescent="0.3">
      <c r="A659" s="2" t="s">
        <v>1224</v>
      </c>
      <c r="B659" s="5" t="s">
        <v>1653</v>
      </c>
      <c r="C659" s="2" t="s">
        <v>180</v>
      </c>
      <c r="D659" s="2" t="s">
        <v>342</v>
      </c>
      <c r="E659" s="2">
        <v>4</v>
      </c>
      <c r="F659" s="2">
        <v>159104</v>
      </c>
      <c r="G659" s="2" t="s">
        <v>563</v>
      </c>
      <c r="H659" s="2" t="str">
        <f t="shared" si="10"/>
        <v>("ORD-00658","2025-04-30","BEA-HAI-179","CX-112",4,159104,"Cash"),</v>
      </c>
      <c r="N659" s="2"/>
      <c r="P659" s="4"/>
    </row>
    <row r="660" spans="1:16" x14ac:dyDescent="0.3">
      <c r="A660" s="2" t="s">
        <v>1225</v>
      </c>
      <c r="B660" s="5" t="s">
        <v>1754</v>
      </c>
      <c r="C660" s="2" t="s">
        <v>94</v>
      </c>
      <c r="D660" s="2" t="s">
        <v>436</v>
      </c>
      <c r="E660" s="2">
        <v>3</v>
      </c>
      <c r="F660" s="2">
        <v>87804</v>
      </c>
      <c r="G660" s="2" t="s">
        <v>565</v>
      </c>
      <c r="H660" s="2" t="str">
        <f t="shared" si="10"/>
        <v>("ORD-00659","2025-03-06","HOM-DEC-093","CX-065",3,87804,"NetBanking"),</v>
      </c>
      <c r="N660" s="2"/>
      <c r="P660" s="4"/>
    </row>
    <row r="661" spans="1:16" x14ac:dyDescent="0.3">
      <c r="A661" s="2" t="s">
        <v>1226</v>
      </c>
      <c r="B661" s="5" t="s">
        <v>1779</v>
      </c>
      <c r="C661" s="2" t="s">
        <v>123</v>
      </c>
      <c r="D661" s="2" t="s">
        <v>465</v>
      </c>
      <c r="E661" s="2">
        <v>5</v>
      </c>
      <c r="F661" s="2">
        <v>184685</v>
      </c>
      <c r="G661" s="2" t="s">
        <v>567</v>
      </c>
      <c r="H661" s="2" t="str">
        <f t="shared" si="10"/>
        <v>("ORD-00660","2025-02-27","SPO-FIT-122","CX-049",5,184685,"Wallet"),</v>
      </c>
      <c r="N661" s="2"/>
      <c r="P661" s="4"/>
    </row>
    <row r="662" spans="1:16" x14ac:dyDescent="0.3">
      <c r="A662" s="2" t="s">
        <v>1227</v>
      </c>
      <c r="B662" s="5" t="s">
        <v>1873</v>
      </c>
      <c r="C662" s="2" t="s">
        <v>54</v>
      </c>
      <c r="D662" s="2" t="s">
        <v>471</v>
      </c>
      <c r="E662" s="2">
        <v>2</v>
      </c>
      <c r="F662" s="2">
        <v>16104</v>
      </c>
      <c r="G662" s="2" t="s">
        <v>570</v>
      </c>
      <c r="H662" s="2" t="str">
        <f t="shared" si="10"/>
        <v>("ORD-00661","2025-08-08","FAS-WOM-053","CX-046",2,16104,"UPI"),</v>
      </c>
      <c r="N662" s="2"/>
      <c r="P662" s="4"/>
    </row>
    <row r="663" spans="1:16" x14ac:dyDescent="0.3">
      <c r="A663" s="2" t="s">
        <v>1228</v>
      </c>
      <c r="B663" s="5" t="s">
        <v>1741</v>
      </c>
      <c r="C663" s="2" t="s">
        <v>146</v>
      </c>
      <c r="D663" s="2" t="s">
        <v>487</v>
      </c>
      <c r="E663" s="2">
        <v>2</v>
      </c>
      <c r="F663" s="2">
        <v>92408</v>
      </c>
      <c r="G663" s="2" t="s">
        <v>567</v>
      </c>
      <c r="H663" s="2" t="str">
        <f t="shared" si="10"/>
        <v>("ORD-00662","2025-04-29","SPO-IND-145","CX-037",2,92408,"Wallet"),</v>
      </c>
      <c r="N663" s="2"/>
      <c r="P663" s="4"/>
    </row>
    <row r="664" spans="1:16" x14ac:dyDescent="0.3">
      <c r="A664" s="2" t="s">
        <v>1229</v>
      </c>
      <c r="B664" s="5" t="s">
        <v>1766</v>
      </c>
      <c r="C664" s="2" t="s">
        <v>104</v>
      </c>
      <c r="D664" s="2" t="s">
        <v>454</v>
      </c>
      <c r="E664" s="2">
        <v>4</v>
      </c>
      <c r="F664" s="2">
        <v>145324</v>
      </c>
      <c r="G664" s="2" t="s">
        <v>567</v>
      </c>
      <c r="H664" s="2" t="str">
        <f t="shared" si="10"/>
        <v>("ORD-00663","2025-03-16","HOM-APP-103","CX-055",4,145324,"Wallet"),</v>
      </c>
      <c r="N664" s="2"/>
      <c r="P664" s="4"/>
    </row>
    <row r="665" spans="1:16" x14ac:dyDescent="0.3">
      <c r="A665" s="2" t="s">
        <v>1230</v>
      </c>
      <c r="B665" s="5" t="s">
        <v>1671</v>
      </c>
      <c r="C665" s="2" t="s">
        <v>131</v>
      </c>
      <c r="D665" s="2" t="s">
        <v>511</v>
      </c>
      <c r="E665" s="2">
        <v>3</v>
      </c>
      <c r="F665" s="2">
        <v>30639</v>
      </c>
      <c r="G665" s="2" t="s">
        <v>565</v>
      </c>
      <c r="H665" s="2" t="str">
        <f t="shared" si="10"/>
        <v>("ORD-00664","2025-10-24","SPO-FIT-130","CX-025",3,30639,"NetBanking"),</v>
      </c>
      <c r="N665" s="2"/>
      <c r="P665" s="4"/>
    </row>
    <row r="666" spans="1:16" x14ac:dyDescent="0.3">
      <c r="A666" s="2" t="s">
        <v>1231</v>
      </c>
      <c r="B666" s="5" t="s">
        <v>1854</v>
      </c>
      <c r="C666" s="2" t="s">
        <v>147</v>
      </c>
      <c r="D666" s="2" t="s">
        <v>429</v>
      </c>
      <c r="E666" s="2">
        <v>3</v>
      </c>
      <c r="F666" s="2">
        <v>112803</v>
      </c>
      <c r="G666" s="2" t="s">
        <v>563</v>
      </c>
      <c r="H666" s="2" t="str">
        <f t="shared" si="10"/>
        <v>("ORD-00665","2025-10-22","SPO-IND-146","CX-069",3,112803,"Cash"),</v>
      </c>
      <c r="N666" s="2"/>
      <c r="P666" s="4"/>
    </row>
    <row r="667" spans="1:16" x14ac:dyDescent="0.3">
      <c r="A667" s="2" t="s">
        <v>1232</v>
      </c>
      <c r="B667" s="5" t="s">
        <v>1682</v>
      </c>
      <c r="C667" s="2" t="s">
        <v>13</v>
      </c>
      <c r="D667" s="2" t="s">
        <v>525</v>
      </c>
      <c r="E667" s="2">
        <v>2</v>
      </c>
      <c r="F667" s="2">
        <v>11478</v>
      </c>
      <c r="G667" s="2" t="s">
        <v>572</v>
      </c>
      <c r="H667" s="2" t="str">
        <f t="shared" si="10"/>
        <v>("ORD-00666","2025-02-26","ELE-LAP-012","CX-017",2,11478,"Card"),</v>
      </c>
      <c r="N667" s="2"/>
      <c r="P667" s="4"/>
    </row>
    <row r="668" spans="1:16" x14ac:dyDescent="0.3">
      <c r="A668" s="2" t="s">
        <v>1233</v>
      </c>
      <c r="B668" s="5" t="s">
        <v>1874</v>
      </c>
      <c r="C668" s="2" t="s">
        <v>136</v>
      </c>
      <c r="D668" s="2" t="s">
        <v>437</v>
      </c>
      <c r="E668" s="2">
        <v>3</v>
      </c>
      <c r="F668" s="2">
        <v>13086</v>
      </c>
      <c r="G668" s="2" t="s">
        <v>565</v>
      </c>
      <c r="H668" s="2" t="str">
        <f t="shared" si="10"/>
        <v>("ORD-00667","2025-07-13","SPO-OUT-135","CX-064",3,13086,"NetBanking"),</v>
      </c>
      <c r="N668" s="2"/>
      <c r="P668" s="4"/>
    </row>
    <row r="669" spans="1:16" x14ac:dyDescent="0.3">
      <c r="A669" s="2" t="s">
        <v>1234</v>
      </c>
      <c r="B669" s="5" t="s">
        <v>1834</v>
      </c>
      <c r="C669" s="2" t="s">
        <v>31</v>
      </c>
      <c r="D669" s="2" t="s">
        <v>435</v>
      </c>
      <c r="E669" s="2">
        <v>4</v>
      </c>
      <c r="F669" s="2">
        <v>152136</v>
      </c>
      <c r="G669" s="2" t="s">
        <v>565</v>
      </c>
      <c r="H669" s="2" t="str">
        <f t="shared" si="10"/>
        <v>("ORD-00668","2025-05-22","ELE-ACC-030","CX-066",4,152136,"NetBanking"),</v>
      </c>
      <c r="N669" s="2"/>
      <c r="P669" s="4"/>
    </row>
    <row r="670" spans="1:16" x14ac:dyDescent="0.3">
      <c r="A670" s="2" t="s">
        <v>1235</v>
      </c>
      <c r="B670" s="5" t="s">
        <v>1715</v>
      </c>
      <c r="C670" s="2" t="s">
        <v>67</v>
      </c>
      <c r="D670" s="2" t="s">
        <v>335</v>
      </c>
      <c r="E670" s="2">
        <v>1</v>
      </c>
      <c r="F670" s="2">
        <v>58748</v>
      </c>
      <c r="G670" s="2" t="s">
        <v>567</v>
      </c>
      <c r="H670" s="2" t="str">
        <f t="shared" si="10"/>
        <v>("ORD-00669","2025-08-27","FAS-KID-066","CX-115",1,58748,"Wallet"),</v>
      </c>
      <c r="N670" s="2"/>
      <c r="P670" s="4"/>
    </row>
    <row r="671" spans="1:16" x14ac:dyDescent="0.3">
      <c r="A671" s="2" t="s">
        <v>1236</v>
      </c>
      <c r="B671" s="5" t="s">
        <v>1577</v>
      </c>
      <c r="C671" s="2" t="s">
        <v>110</v>
      </c>
      <c r="D671" s="2" t="s">
        <v>485</v>
      </c>
      <c r="E671" s="2">
        <v>5</v>
      </c>
      <c r="F671" s="2">
        <v>155570</v>
      </c>
      <c r="G671" s="2" t="s">
        <v>565</v>
      </c>
      <c r="H671" s="2" t="str">
        <f t="shared" si="10"/>
        <v>("ORD-00670","2025-03-25","HOM-APP-109","CX-039",5,155570,"NetBanking"),</v>
      </c>
      <c r="N671" s="2"/>
      <c r="P671" s="4"/>
    </row>
    <row r="672" spans="1:16" x14ac:dyDescent="0.3">
      <c r="A672" s="2" t="s">
        <v>1237</v>
      </c>
      <c r="B672" s="5" t="s">
        <v>1697</v>
      </c>
      <c r="C672" s="2" t="s">
        <v>11</v>
      </c>
      <c r="D672" s="2" t="s">
        <v>344</v>
      </c>
      <c r="E672" s="2">
        <v>5</v>
      </c>
      <c r="F672" s="2">
        <v>9520</v>
      </c>
      <c r="G672" s="2" t="s">
        <v>570</v>
      </c>
      <c r="H672" s="2" t="str">
        <f t="shared" si="10"/>
        <v>("ORD-00671","2025-02-04","ELE-MOB-010","CX-111",5,9520,"UPI"),</v>
      </c>
      <c r="N672" s="2"/>
      <c r="P672" s="4"/>
    </row>
    <row r="673" spans="1:16" x14ac:dyDescent="0.3">
      <c r="A673" s="2" t="s">
        <v>1238</v>
      </c>
      <c r="B673" s="5" t="s">
        <v>1822</v>
      </c>
      <c r="C673" s="2" t="s">
        <v>124</v>
      </c>
      <c r="D673" s="2" t="s">
        <v>431</v>
      </c>
      <c r="E673" s="2">
        <v>4</v>
      </c>
      <c r="F673" s="2">
        <v>205584</v>
      </c>
      <c r="G673" s="2" t="s">
        <v>570</v>
      </c>
      <c r="H673" s="2" t="str">
        <f t="shared" si="10"/>
        <v>("ORD-00672","2025-07-21","SPO-FIT-123","CX-068",4,205584,"UPI"),</v>
      </c>
      <c r="N673" s="2"/>
      <c r="P673" s="4"/>
    </row>
    <row r="674" spans="1:16" x14ac:dyDescent="0.3">
      <c r="A674" s="2" t="s">
        <v>1239</v>
      </c>
      <c r="B674" s="5" t="s">
        <v>1643</v>
      </c>
      <c r="C674" s="2" t="s">
        <v>115</v>
      </c>
      <c r="D674" s="2" t="s">
        <v>364</v>
      </c>
      <c r="E674" s="2">
        <v>2</v>
      </c>
      <c r="F674" s="2">
        <v>66704</v>
      </c>
      <c r="G674" s="2" t="s">
        <v>567</v>
      </c>
      <c r="H674" s="2" t="str">
        <f t="shared" si="10"/>
        <v>("ORD-00673","2025-01-19","HOM-FUR-114","CX-102",2,66704,"Wallet"),</v>
      </c>
      <c r="N674" s="2"/>
      <c r="P674" s="4"/>
    </row>
    <row r="675" spans="1:16" x14ac:dyDescent="0.3">
      <c r="A675" s="2" t="s">
        <v>1240</v>
      </c>
      <c r="B675" s="5" t="s">
        <v>1875</v>
      </c>
      <c r="C675" s="2" t="s">
        <v>65</v>
      </c>
      <c r="D675" s="2" t="s">
        <v>401</v>
      </c>
      <c r="E675" s="2">
        <v>4</v>
      </c>
      <c r="F675" s="2">
        <v>28440</v>
      </c>
      <c r="G675" s="2" t="s">
        <v>572</v>
      </c>
      <c r="H675" s="2" t="str">
        <f t="shared" si="10"/>
        <v>("ORD-00674","2025-10-26","FAS-KID-064","CX-084",4,28440,"Card"),</v>
      </c>
      <c r="N675" s="2"/>
      <c r="P675" s="4"/>
    </row>
    <row r="676" spans="1:16" x14ac:dyDescent="0.3">
      <c r="A676" s="2" t="s">
        <v>1241</v>
      </c>
      <c r="B676" s="5" t="s">
        <v>1832</v>
      </c>
      <c r="C676" s="2" t="s">
        <v>106</v>
      </c>
      <c r="D676" s="2" t="s">
        <v>422</v>
      </c>
      <c r="E676" s="2">
        <v>4</v>
      </c>
      <c r="F676" s="2">
        <v>8888</v>
      </c>
      <c r="G676" s="2" t="s">
        <v>563</v>
      </c>
      <c r="H676" s="2" t="str">
        <f t="shared" si="10"/>
        <v>("ORD-00675","2025-04-10","HOM-APP-105","CX-073",4,8888,"Cash"),</v>
      </c>
      <c r="N676" s="2"/>
      <c r="P676" s="4"/>
    </row>
    <row r="677" spans="1:16" x14ac:dyDescent="0.3">
      <c r="A677" s="2" t="s">
        <v>1242</v>
      </c>
      <c r="B677" s="5" t="s">
        <v>1876</v>
      </c>
      <c r="C677" s="2" t="s">
        <v>129</v>
      </c>
      <c r="D677" s="2" t="s">
        <v>339</v>
      </c>
      <c r="E677" s="2">
        <v>2</v>
      </c>
      <c r="F677" s="2">
        <v>16406</v>
      </c>
      <c r="G677" s="2" t="s">
        <v>563</v>
      </c>
      <c r="H677" s="2" t="str">
        <f t="shared" si="10"/>
        <v>("ORD-00676","2025-01-02","SPO-FIT-128","CX-113",2,16406,"Cash"),</v>
      </c>
      <c r="N677" s="2"/>
      <c r="P677" s="4"/>
    </row>
    <row r="678" spans="1:16" x14ac:dyDescent="0.3">
      <c r="A678" s="2" t="s">
        <v>1243</v>
      </c>
      <c r="B678" s="5" t="s">
        <v>1635</v>
      </c>
      <c r="C678" s="2" t="s">
        <v>54</v>
      </c>
      <c r="D678" s="2" t="s">
        <v>427</v>
      </c>
      <c r="E678" s="2">
        <v>1</v>
      </c>
      <c r="F678" s="2">
        <v>8052</v>
      </c>
      <c r="G678" s="2" t="s">
        <v>565</v>
      </c>
      <c r="H678" s="2" t="str">
        <f t="shared" si="10"/>
        <v>("ORD-00677","2025-11-09","FAS-WOM-053","CX-070",1,8052,"NetBanking"),</v>
      </c>
      <c r="N678" s="2"/>
      <c r="P678" s="4"/>
    </row>
    <row r="679" spans="1:16" x14ac:dyDescent="0.3">
      <c r="A679" s="2" t="s">
        <v>1244</v>
      </c>
      <c r="B679" s="5" t="s">
        <v>1673</v>
      </c>
      <c r="C679" s="2" t="s">
        <v>78</v>
      </c>
      <c r="D679" s="2" t="s">
        <v>410</v>
      </c>
      <c r="E679" s="2">
        <v>4</v>
      </c>
      <c r="F679" s="2">
        <v>209780</v>
      </c>
      <c r="G679" s="2" t="s">
        <v>572</v>
      </c>
      <c r="H679" s="2" t="str">
        <f t="shared" si="10"/>
        <v>("ORD-00678","2025-04-12","FAS-FOO-077","CX-079",4,209780,"Card"),</v>
      </c>
      <c r="N679" s="2"/>
      <c r="P679" s="4"/>
    </row>
    <row r="680" spans="1:16" x14ac:dyDescent="0.3">
      <c r="A680" s="2" t="s">
        <v>1245</v>
      </c>
      <c r="B680" s="5" t="s">
        <v>1870</v>
      </c>
      <c r="C680" s="2" t="s">
        <v>68</v>
      </c>
      <c r="D680" s="2" t="s">
        <v>370</v>
      </c>
      <c r="E680" s="2">
        <v>2</v>
      </c>
      <c r="F680" s="2">
        <v>113550</v>
      </c>
      <c r="G680" s="2" t="s">
        <v>567</v>
      </c>
      <c r="H680" s="2" t="str">
        <f t="shared" si="10"/>
        <v>("ORD-00679","2025-09-18","FAS-KID-067","CX-099",2,113550,"Wallet"),</v>
      </c>
      <c r="N680" s="2"/>
      <c r="P680" s="4"/>
    </row>
    <row r="681" spans="1:16" x14ac:dyDescent="0.3">
      <c r="A681" s="2" t="s">
        <v>1246</v>
      </c>
      <c r="B681" s="5" t="s">
        <v>1614</v>
      </c>
      <c r="C681" s="2" t="s">
        <v>196</v>
      </c>
      <c r="D681" s="2" t="s">
        <v>460</v>
      </c>
      <c r="E681" s="2">
        <v>4</v>
      </c>
      <c r="F681" s="2">
        <v>234840</v>
      </c>
      <c r="G681" s="2" t="s">
        <v>572</v>
      </c>
      <c r="H681" s="2" t="str">
        <f t="shared" si="10"/>
        <v>("ORD-00680","2024-12-31","BEA-FRA-195","CX-052",4,234840,"Card"),</v>
      </c>
      <c r="N681" s="2"/>
      <c r="P681" s="4"/>
    </row>
    <row r="682" spans="1:16" x14ac:dyDescent="0.3">
      <c r="A682" s="2" t="s">
        <v>1247</v>
      </c>
      <c r="B682" s="5" t="s">
        <v>1877</v>
      </c>
      <c r="C682" s="2" t="s">
        <v>153</v>
      </c>
      <c r="D682" s="2" t="s">
        <v>436</v>
      </c>
      <c r="E682" s="2">
        <v>1</v>
      </c>
      <c r="F682" s="2">
        <v>13173</v>
      </c>
      <c r="G682" s="2" t="s">
        <v>565</v>
      </c>
      <c r="H682" s="2" t="str">
        <f t="shared" si="10"/>
        <v>("ORD-00681","2024-12-23","SPO-ACC-152","CX-065",1,13173,"NetBanking"),</v>
      </c>
      <c r="N682" s="2"/>
      <c r="P682" s="4"/>
    </row>
    <row r="683" spans="1:16" x14ac:dyDescent="0.3">
      <c r="A683" s="2" t="s">
        <v>1248</v>
      </c>
      <c r="B683" s="5" t="s">
        <v>1677</v>
      </c>
      <c r="C683" s="2" t="s">
        <v>55</v>
      </c>
      <c r="D683" s="2" t="s">
        <v>358</v>
      </c>
      <c r="E683" s="2">
        <v>3</v>
      </c>
      <c r="F683" s="2">
        <v>11262</v>
      </c>
      <c r="G683" s="2" t="s">
        <v>572</v>
      </c>
      <c r="H683" s="2" t="str">
        <f t="shared" si="10"/>
        <v>("ORD-00682","2025-08-18","FAS-WOM-054","CX-105",3,11262,"Card"),</v>
      </c>
      <c r="N683" s="2"/>
      <c r="P683" s="4"/>
    </row>
    <row r="684" spans="1:16" x14ac:dyDescent="0.3">
      <c r="A684" s="2" t="s">
        <v>1249</v>
      </c>
      <c r="B684" s="5" t="s">
        <v>1774</v>
      </c>
      <c r="C684" s="2" t="s">
        <v>146</v>
      </c>
      <c r="D684" s="2" t="s">
        <v>473</v>
      </c>
      <c r="E684" s="2">
        <v>3</v>
      </c>
      <c r="F684" s="2">
        <v>138612</v>
      </c>
      <c r="G684" s="2" t="s">
        <v>572</v>
      </c>
      <c r="H684" s="2" t="str">
        <f t="shared" si="10"/>
        <v>("ORD-00683","2025-11-05","SPO-IND-145","CX-045",3,138612,"Card"),</v>
      </c>
      <c r="N684" s="2"/>
      <c r="P684" s="4"/>
    </row>
    <row r="685" spans="1:16" x14ac:dyDescent="0.3">
      <c r="A685" s="2" t="s">
        <v>1250</v>
      </c>
      <c r="B685" s="5" t="s">
        <v>1603</v>
      </c>
      <c r="C685" s="2" t="s">
        <v>118</v>
      </c>
      <c r="D685" s="2" t="s">
        <v>541</v>
      </c>
      <c r="E685" s="2">
        <v>3</v>
      </c>
      <c r="F685" s="2">
        <v>8697</v>
      </c>
      <c r="G685" s="2" t="s">
        <v>563</v>
      </c>
      <c r="H685" s="2" t="str">
        <f t="shared" si="10"/>
        <v>("ORD-00684","2025-09-03","HOM-FUR-117","CX-009",3,8697,"Cash"),</v>
      </c>
      <c r="N685" s="2"/>
      <c r="P685" s="4"/>
    </row>
    <row r="686" spans="1:16" x14ac:dyDescent="0.3">
      <c r="A686" s="2" t="s">
        <v>1251</v>
      </c>
      <c r="B686" s="5" t="s">
        <v>1849</v>
      </c>
      <c r="C686" s="2" t="s">
        <v>142</v>
      </c>
      <c r="D686" s="2" t="s">
        <v>553</v>
      </c>
      <c r="E686" s="2">
        <v>1</v>
      </c>
      <c r="F686" s="2">
        <v>35904</v>
      </c>
      <c r="G686" s="2" t="s">
        <v>563</v>
      </c>
      <c r="H686" s="2" t="str">
        <f t="shared" si="10"/>
        <v>("ORD-00685","2024-11-30","SPO-IND-141","CX-002",1,35904,"Cash"),</v>
      </c>
      <c r="N686" s="2"/>
      <c r="P686" s="4"/>
    </row>
    <row r="687" spans="1:16" x14ac:dyDescent="0.3">
      <c r="A687" s="2" t="s">
        <v>1252</v>
      </c>
      <c r="B687" s="5" t="s">
        <v>1878</v>
      </c>
      <c r="C687" s="2" t="s">
        <v>117</v>
      </c>
      <c r="D687" s="2" t="s">
        <v>382</v>
      </c>
      <c r="E687" s="2">
        <v>5</v>
      </c>
      <c r="F687" s="2">
        <v>283935</v>
      </c>
      <c r="G687" s="2" t="s">
        <v>572</v>
      </c>
      <c r="H687" s="2" t="str">
        <f t="shared" si="10"/>
        <v>("ORD-00686","2024-12-19","HOM-FUR-116","CX-093",5,283935,"Card"),</v>
      </c>
      <c r="N687" s="2"/>
      <c r="P687" s="4"/>
    </row>
    <row r="688" spans="1:16" x14ac:dyDescent="0.3">
      <c r="A688" s="2" t="s">
        <v>1253</v>
      </c>
      <c r="B688" s="5" t="s">
        <v>1611</v>
      </c>
      <c r="C688" s="2" t="s">
        <v>184</v>
      </c>
      <c r="D688" s="2" t="s">
        <v>529</v>
      </c>
      <c r="E688" s="2">
        <v>4</v>
      </c>
      <c r="F688" s="2">
        <v>24336</v>
      </c>
      <c r="G688" s="2" t="s">
        <v>565</v>
      </c>
      <c r="H688" s="2" t="str">
        <f t="shared" si="10"/>
        <v>("ORD-00687","2025-02-18","BEA-MAK-183","CX-015",4,24336,"NetBanking"),</v>
      </c>
      <c r="N688" s="2"/>
      <c r="P688" s="4"/>
    </row>
    <row r="689" spans="1:16" x14ac:dyDescent="0.3">
      <c r="A689" s="2" t="s">
        <v>1254</v>
      </c>
      <c r="B689" s="5" t="s">
        <v>1716</v>
      </c>
      <c r="C689" s="2" t="s">
        <v>104</v>
      </c>
      <c r="D689" s="2" t="s">
        <v>458</v>
      </c>
      <c r="E689" s="2">
        <v>2</v>
      </c>
      <c r="F689" s="2">
        <v>72662</v>
      </c>
      <c r="G689" s="2" t="s">
        <v>572</v>
      </c>
      <c r="H689" s="2" t="str">
        <f t="shared" si="10"/>
        <v>("ORD-00688","2025-02-01","HOM-APP-103","CX-053",2,72662,"Card"),</v>
      </c>
      <c r="N689" s="2"/>
      <c r="P689" s="4"/>
    </row>
    <row r="690" spans="1:16" x14ac:dyDescent="0.3">
      <c r="A690" s="2" t="s">
        <v>1255</v>
      </c>
      <c r="B690" s="5" t="s">
        <v>1790</v>
      </c>
      <c r="C690" s="2" t="s">
        <v>42</v>
      </c>
      <c r="D690" s="2" t="s">
        <v>342</v>
      </c>
      <c r="E690" s="2">
        <v>1</v>
      </c>
      <c r="F690" s="2">
        <v>29681</v>
      </c>
      <c r="G690" s="2" t="s">
        <v>570</v>
      </c>
      <c r="H690" s="2" t="str">
        <f t="shared" si="10"/>
        <v>("ORD-00689","2025-05-12","FAS-MEN-041","CX-112",1,29681,"UPI"),</v>
      </c>
      <c r="N690" s="2"/>
      <c r="P690" s="4"/>
    </row>
    <row r="691" spans="1:16" x14ac:dyDescent="0.3">
      <c r="A691" s="2" t="s">
        <v>1256</v>
      </c>
      <c r="B691" s="5" t="s">
        <v>1879</v>
      </c>
      <c r="C691" s="2" t="s">
        <v>2</v>
      </c>
      <c r="D691" s="2" t="s">
        <v>553</v>
      </c>
      <c r="E691" s="2">
        <v>3</v>
      </c>
      <c r="F691" s="2">
        <v>74169</v>
      </c>
      <c r="G691" s="2" t="s">
        <v>572</v>
      </c>
      <c r="H691" s="2" t="str">
        <f t="shared" si="10"/>
        <v>("ORD-00690","2025-04-11","ELE-MOB-001","CX-002",3,74169,"Card"),</v>
      </c>
      <c r="N691" s="2"/>
      <c r="P691" s="4"/>
    </row>
    <row r="692" spans="1:16" x14ac:dyDescent="0.3">
      <c r="A692" s="2" t="s">
        <v>1257</v>
      </c>
      <c r="B692" s="5" t="s">
        <v>1758</v>
      </c>
      <c r="C692" s="2" t="s">
        <v>132</v>
      </c>
      <c r="D692" s="2" t="s">
        <v>541</v>
      </c>
      <c r="E692" s="2">
        <v>4</v>
      </c>
      <c r="F692" s="2">
        <v>230120</v>
      </c>
      <c r="G692" s="2" t="s">
        <v>565</v>
      </c>
      <c r="H692" s="2" t="str">
        <f t="shared" si="10"/>
        <v>("ORD-00691","2025-03-15","SPO-OUT-131","CX-009",4,230120,"NetBanking"),</v>
      </c>
      <c r="N692" s="2"/>
      <c r="P692" s="4"/>
    </row>
    <row r="693" spans="1:16" x14ac:dyDescent="0.3">
      <c r="A693" s="2" t="s">
        <v>1258</v>
      </c>
      <c r="B693" s="5" t="s">
        <v>1680</v>
      </c>
      <c r="C693" s="2" t="s">
        <v>105</v>
      </c>
      <c r="D693" s="2" t="s">
        <v>431</v>
      </c>
      <c r="E693" s="2">
        <v>1</v>
      </c>
      <c r="F693" s="2">
        <v>41102</v>
      </c>
      <c r="G693" s="2" t="s">
        <v>570</v>
      </c>
      <c r="H693" s="2" t="str">
        <f t="shared" si="10"/>
        <v>("ORD-00692","2025-11-25","HOM-APP-104","CX-068",1,41102,"UPI"),</v>
      </c>
      <c r="N693" s="2"/>
      <c r="P693" s="4"/>
    </row>
    <row r="694" spans="1:16" x14ac:dyDescent="0.3">
      <c r="A694" s="2" t="s">
        <v>1259</v>
      </c>
      <c r="B694" s="5" t="s">
        <v>1806</v>
      </c>
      <c r="C694" s="2" t="s">
        <v>21</v>
      </c>
      <c r="D694" s="2" t="s">
        <v>378</v>
      </c>
      <c r="E694" s="2">
        <v>3</v>
      </c>
      <c r="F694" s="2">
        <v>36015</v>
      </c>
      <c r="G694" s="2" t="s">
        <v>572</v>
      </c>
      <c r="H694" s="2" t="str">
        <f t="shared" si="10"/>
        <v>("ORD-00693","2024-12-11","ELE-LAP-020","CX-095",3,36015,"Card"),</v>
      </c>
      <c r="N694" s="2"/>
      <c r="P694" s="4"/>
    </row>
    <row r="695" spans="1:16" x14ac:dyDescent="0.3">
      <c r="A695" s="2" t="s">
        <v>1260</v>
      </c>
      <c r="B695" s="5" t="s">
        <v>1735</v>
      </c>
      <c r="C695" s="2" t="s">
        <v>143</v>
      </c>
      <c r="D695" s="2" t="s">
        <v>551</v>
      </c>
      <c r="E695" s="2">
        <v>4</v>
      </c>
      <c r="F695" s="2">
        <v>108788</v>
      </c>
      <c r="G695" s="2" t="s">
        <v>567</v>
      </c>
      <c r="H695" s="2" t="str">
        <f t="shared" si="10"/>
        <v>("ORD-00694","2025-03-31","SPO-IND-142","CX-003",4,108788,"Wallet"),</v>
      </c>
      <c r="N695" s="2"/>
      <c r="P695" s="4"/>
    </row>
    <row r="696" spans="1:16" x14ac:dyDescent="0.3">
      <c r="A696" s="2" t="s">
        <v>1261</v>
      </c>
      <c r="B696" s="5" t="s">
        <v>1880</v>
      </c>
      <c r="C696" s="2" t="s">
        <v>125</v>
      </c>
      <c r="D696" s="2" t="s">
        <v>456</v>
      </c>
      <c r="E696" s="2">
        <v>1</v>
      </c>
      <c r="F696" s="2">
        <v>11833</v>
      </c>
      <c r="G696" s="2" t="s">
        <v>570</v>
      </c>
      <c r="H696" s="2" t="str">
        <f t="shared" si="10"/>
        <v>("ORD-00695","2025-05-29","SPO-FIT-124","CX-054",1,11833,"UPI"),</v>
      </c>
      <c r="N696" s="2"/>
      <c r="P696" s="4"/>
    </row>
    <row r="697" spans="1:16" x14ac:dyDescent="0.3">
      <c r="A697" s="2" t="s">
        <v>1262</v>
      </c>
      <c r="B697" s="5" t="s">
        <v>1881</v>
      </c>
      <c r="C697" s="2" t="s">
        <v>64</v>
      </c>
      <c r="D697" s="2" t="s">
        <v>533</v>
      </c>
      <c r="E697" s="2">
        <v>2</v>
      </c>
      <c r="F697" s="2">
        <v>108740</v>
      </c>
      <c r="G697" s="2" t="s">
        <v>570</v>
      </c>
      <c r="H697" s="2" t="str">
        <f t="shared" si="10"/>
        <v>("ORD-00696","2025-08-07","FAS-KID-063","CX-013",2,108740,"UPI"),</v>
      </c>
      <c r="N697" s="2"/>
      <c r="P697" s="4"/>
    </row>
    <row r="698" spans="1:16" x14ac:dyDescent="0.3">
      <c r="A698" s="2" t="s">
        <v>1263</v>
      </c>
      <c r="B698" s="5" t="s">
        <v>1781</v>
      </c>
      <c r="C698" s="2" t="s">
        <v>117</v>
      </c>
      <c r="D698" s="2" t="s">
        <v>429</v>
      </c>
      <c r="E698" s="2">
        <v>4</v>
      </c>
      <c r="F698" s="2">
        <v>227148</v>
      </c>
      <c r="G698" s="2" t="s">
        <v>567</v>
      </c>
      <c r="H698" s="2" t="str">
        <f t="shared" si="10"/>
        <v>("ORD-00697","2025-07-12","HOM-FUR-116","CX-069",4,227148,"Wallet"),</v>
      </c>
      <c r="N698" s="2"/>
      <c r="P698" s="4"/>
    </row>
    <row r="699" spans="1:16" x14ac:dyDescent="0.3">
      <c r="A699" s="2" t="s">
        <v>1264</v>
      </c>
      <c r="B699" s="5" t="s">
        <v>1742</v>
      </c>
      <c r="C699" s="2" t="s">
        <v>42</v>
      </c>
      <c r="D699" s="2" t="s">
        <v>464</v>
      </c>
      <c r="E699" s="2">
        <v>5</v>
      </c>
      <c r="F699" s="2">
        <v>148405</v>
      </c>
      <c r="G699" s="2" t="s">
        <v>567</v>
      </c>
      <c r="H699" s="2" t="str">
        <f t="shared" si="10"/>
        <v>("ORD-00698","2025-03-27","FAS-MEN-041","CX-050",5,148405,"Wallet"),</v>
      </c>
      <c r="N699" s="2"/>
      <c r="P699" s="4"/>
    </row>
    <row r="700" spans="1:16" x14ac:dyDescent="0.3">
      <c r="A700" s="2" t="s">
        <v>1265</v>
      </c>
      <c r="B700" s="5" t="s">
        <v>1653</v>
      </c>
      <c r="C700" s="2" t="s">
        <v>62</v>
      </c>
      <c r="D700" s="2" t="s">
        <v>553</v>
      </c>
      <c r="E700" s="2">
        <v>2</v>
      </c>
      <c r="F700" s="2">
        <v>30406</v>
      </c>
      <c r="G700" s="2" t="s">
        <v>565</v>
      </c>
      <c r="H700" s="2" t="str">
        <f t="shared" si="10"/>
        <v>("ORD-00699","2025-04-30","FAS-KID-061","CX-002",2,30406,"NetBanking"),</v>
      </c>
      <c r="N700" s="2"/>
      <c r="P700" s="4"/>
    </row>
    <row r="701" spans="1:16" x14ac:dyDescent="0.3">
      <c r="A701" s="2" t="s">
        <v>1266</v>
      </c>
      <c r="B701" s="5" t="s">
        <v>1872</v>
      </c>
      <c r="C701" s="2" t="s">
        <v>156</v>
      </c>
      <c r="D701" s="2" t="s">
        <v>414</v>
      </c>
      <c r="E701" s="2">
        <v>5</v>
      </c>
      <c r="F701" s="2">
        <v>119140</v>
      </c>
      <c r="G701" s="2" t="s">
        <v>565</v>
      </c>
      <c r="H701" s="2" t="str">
        <f t="shared" si="10"/>
        <v>("ORD-00700","2025-04-15","SPO-ACC-155","CX-077",5,119140,"NetBanking"),</v>
      </c>
      <c r="N701" s="2"/>
      <c r="P701" s="4"/>
    </row>
    <row r="702" spans="1:16" x14ac:dyDescent="0.3">
      <c r="A702" s="2" t="s">
        <v>1267</v>
      </c>
      <c r="B702" s="5" t="s">
        <v>1741</v>
      </c>
      <c r="C702" s="2" t="s">
        <v>47</v>
      </c>
      <c r="D702" s="2" t="s">
        <v>467</v>
      </c>
      <c r="E702" s="2">
        <v>4</v>
      </c>
      <c r="F702" s="2">
        <v>54248</v>
      </c>
      <c r="G702" s="2" t="s">
        <v>572</v>
      </c>
      <c r="H702" s="2" t="str">
        <f t="shared" si="10"/>
        <v>("ORD-00701","2025-04-29","FAS-MEN-046","CX-048",4,54248,"Card"),</v>
      </c>
      <c r="N702" s="2"/>
      <c r="P702" s="4"/>
    </row>
    <row r="703" spans="1:16" x14ac:dyDescent="0.3">
      <c r="A703" s="2" t="s">
        <v>1268</v>
      </c>
      <c r="B703" s="5" t="s">
        <v>1792</v>
      </c>
      <c r="C703" s="2" t="s">
        <v>49</v>
      </c>
      <c r="D703" s="2" t="s">
        <v>462</v>
      </c>
      <c r="E703" s="2">
        <v>3</v>
      </c>
      <c r="F703" s="2">
        <v>31155</v>
      </c>
      <c r="G703" s="2" t="s">
        <v>567</v>
      </c>
      <c r="H703" s="2" t="str">
        <f t="shared" si="10"/>
        <v>("ORD-00702","2025-06-20","FAS-MEN-048","CX-051",3,31155,"Wallet"),</v>
      </c>
      <c r="N703" s="2"/>
      <c r="P703" s="4"/>
    </row>
    <row r="704" spans="1:16" x14ac:dyDescent="0.3">
      <c r="A704" s="2" t="s">
        <v>1269</v>
      </c>
      <c r="B704" s="5" t="s">
        <v>1696</v>
      </c>
      <c r="C704" s="2" t="s">
        <v>61</v>
      </c>
      <c r="D704" s="2" t="s">
        <v>362</v>
      </c>
      <c r="E704" s="2">
        <v>5</v>
      </c>
      <c r="F704" s="2">
        <v>254400</v>
      </c>
      <c r="G704" s="2" t="s">
        <v>565</v>
      </c>
      <c r="H704" s="2" t="str">
        <f t="shared" si="10"/>
        <v>("ORD-00703","2025-04-02","FAS-WOM-060","CX-103",5,254400,"NetBanking"),</v>
      </c>
      <c r="N704" s="2"/>
      <c r="P704" s="4"/>
    </row>
    <row r="705" spans="1:16" x14ac:dyDescent="0.3">
      <c r="A705" s="2" t="s">
        <v>1270</v>
      </c>
      <c r="B705" s="5" t="s">
        <v>1621</v>
      </c>
      <c r="C705" s="2" t="s">
        <v>138</v>
      </c>
      <c r="D705" s="2" t="s">
        <v>467</v>
      </c>
      <c r="E705" s="2">
        <v>1</v>
      </c>
      <c r="F705" s="2">
        <v>12439</v>
      </c>
      <c r="G705" s="2" t="s">
        <v>565</v>
      </c>
      <c r="H705" s="2" t="str">
        <f t="shared" si="10"/>
        <v>("ORD-00704","2025-04-22","SPO-OUT-137","CX-048",1,12439,"NetBanking"),</v>
      </c>
      <c r="N705" s="2"/>
      <c r="P705" s="4"/>
    </row>
    <row r="706" spans="1:16" x14ac:dyDescent="0.3">
      <c r="A706" s="2" t="s">
        <v>1271</v>
      </c>
      <c r="B706" s="5" t="s">
        <v>1667</v>
      </c>
      <c r="C706" s="2" t="s">
        <v>155</v>
      </c>
      <c r="D706" s="2" t="s">
        <v>469</v>
      </c>
      <c r="E706" s="2">
        <v>5</v>
      </c>
      <c r="F706" s="2">
        <v>186455</v>
      </c>
      <c r="G706" s="2" t="s">
        <v>565</v>
      </c>
      <c r="H706" s="2" t="str">
        <f t="shared" si="10"/>
        <v>("ORD-00705","2025-01-31","SPO-ACC-154","CX-047",5,186455,"NetBanking"),</v>
      </c>
      <c r="N706" s="2"/>
      <c r="P706" s="4"/>
    </row>
    <row r="707" spans="1:16" x14ac:dyDescent="0.3">
      <c r="A707" s="2" t="s">
        <v>1272</v>
      </c>
      <c r="B707" s="5" t="s">
        <v>1784</v>
      </c>
      <c r="C707" s="2" t="s">
        <v>179</v>
      </c>
      <c r="D707" s="2" t="s">
        <v>471</v>
      </c>
      <c r="E707" s="2">
        <v>4</v>
      </c>
      <c r="F707" s="2">
        <v>140224</v>
      </c>
      <c r="G707" s="2" t="s">
        <v>563</v>
      </c>
      <c r="H707" s="2" t="str">
        <f t="shared" ref="H707:H770" si="11">"("""&amp;A707&amp;""","""&amp;B707&amp;""","""&amp;C707&amp;""","""&amp;D707&amp;""","&amp;E707&amp;","&amp;F707&amp;","""&amp;G707&amp;"""),"</f>
        <v>("ORD-00706","2025-04-27","BEA-HAI-178","CX-046",4,140224,"Cash"),</v>
      </c>
      <c r="N707" s="2"/>
      <c r="P707" s="4"/>
    </row>
    <row r="708" spans="1:16" x14ac:dyDescent="0.3">
      <c r="A708" s="2" t="s">
        <v>1273</v>
      </c>
      <c r="B708" s="5" t="s">
        <v>1810</v>
      </c>
      <c r="C708" s="2" t="s">
        <v>18</v>
      </c>
      <c r="D708" s="2" t="s">
        <v>533</v>
      </c>
      <c r="E708" s="2">
        <v>3</v>
      </c>
      <c r="F708" s="2">
        <v>115743</v>
      </c>
      <c r="G708" s="2" t="s">
        <v>572</v>
      </c>
      <c r="H708" s="2" t="str">
        <f t="shared" si="11"/>
        <v>("ORD-00707","2025-06-07","ELE-LAP-017","CX-013",3,115743,"Card"),</v>
      </c>
      <c r="N708" s="2"/>
      <c r="P708" s="4"/>
    </row>
    <row r="709" spans="1:16" x14ac:dyDescent="0.3">
      <c r="A709" s="2" t="s">
        <v>1274</v>
      </c>
      <c r="B709" s="5" t="s">
        <v>1882</v>
      </c>
      <c r="C709" s="2" t="s">
        <v>89</v>
      </c>
      <c r="D709" s="2" t="s">
        <v>382</v>
      </c>
      <c r="E709" s="2">
        <v>5</v>
      </c>
      <c r="F709" s="2">
        <v>138625</v>
      </c>
      <c r="G709" s="2" t="s">
        <v>565</v>
      </c>
      <c r="H709" s="2" t="str">
        <f t="shared" si="11"/>
        <v>("ORD-00708","2025-02-20","HOM-KIT-088","CX-093",5,138625,"NetBanking"),</v>
      </c>
      <c r="N709" s="2"/>
      <c r="P709" s="4"/>
    </row>
    <row r="710" spans="1:16" x14ac:dyDescent="0.3">
      <c r="A710" s="2" t="s">
        <v>1275</v>
      </c>
      <c r="B710" s="5" t="s">
        <v>1676</v>
      </c>
      <c r="C710" s="2" t="s">
        <v>11</v>
      </c>
      <c r="D710" s="2" t="s">
        <v>523</v>
      </c>
      <c r="E710" s="2">
        <v>2</v>
      </c>
      <c r="F710" s="2">
        <v>3808</v>
      </c>
      <c r="G710" s="2" t="s">
        <v>570</v>
      </c>
      <c r="H710" s="2" t="str">
        <f t="shared" si="11"/>
        <v>("ORD-00709","2025-03-29","ELE-MOB-010","CX-018",2,3808,"UPI"),</v>
      </c>
      <c r="N710" s="2"/>
      <c r="P710" s="4"/>
    </row>
    <row r="711" spans="1:16" x14ac:dyDescent="0.3">
      <c r="A711" s="2" t="s">
        <v>1276</v>
      </c>
      <c r="B711" s="5" t="s">
        <v>1585</v>
      </c>
      <c r="C711" s="2" t="s">
        <v>112</v>
      </c>
      <c r="D711" s="2" t="s">
        <v>520</v>
      </c>
      <c r="E711" s="2">
        <v>1</v>
      </c>
      <c r="F711" s="2">
        <v>55900</v>
      </c>
      <c r="G711" s="2" t="s">
        <v>567</v>
      </c>
      <c r="H711" s="2" t="str">
        <f t="shared" si="11"/>
        <v>("ORD-00710","2025-01-08","HOM-FUR-111","CX-020",1,55900,"Wallet"),</v>
      </c>
      <c r="N711" s="2"/>
      <c r="P711" s="4"/>
    </row>
    <row r="712" spans="1:16" x14ac:dyDescent="0.3">
      <c r="A712" s="2" t="s">
        <v>1277</v>
      </c>
      <c r="B712" s="5" t="s">
        <v>1643</v>
      </c>
      <c r="C712" s="2" t="s">
        <v>10</v>
      </c>
      <c r="D712" s="2" t="s">
        <v>475</v>
      </c>
      <c r="E712" s="2">
        <v>2</v>
      </c>
      <c r="F712" s="2">
        <v>105806</v>
      </c>
      <c r="G712" s="2" t="s">
        <v>572</v>
      </c>
      <c r="H712" s="2" t="str">
        <f t="shared" si="11"/>
        <v>("ORD-00711","2025-01-19","ELE-MOB-009","CX-044",2,105806,"Card"),</v>
      </c>
      <c r="N712" s="2"/>
      <c r="P712" s="4"/>
    </row>
    <row r="713" spans="1:16" x14ac:dyDescent="0.3">
      <c r="A713" s="2" t="s">
        <v>1278</v>
      </c>
      <c r="B713" s="5" t="s">
        <v>1864</v>
      </c>
      <c r="C713" s="2" t="s">
        <v>39</v>
      </c>
      <c r="D713" s="2" t="s">
        <v>513</v>
      </c>
      <c r="E713" s="2">
        <v>5</v>
      </c>
      <c r="F713" s="2">
        <v>162520</v>
      </c>
      <c r="G713" s="2" t="s">
        <v>567</v>
      </c>
      <c r="H713" s="2" t="str">
        <f t="shared" si="11"/>
        <v>("ORD-00712","2025-01-26","ELE-CAM-038","CX-024",5,162520,"Wallet"),</v>
      </c>
      <c r="N713" s="2"/>
      <c r="P713" s="4"/>
    </row>
    <row r="714" spans="1:16" x14ac:dyDescent="0.3">
      <c r="A714" s="2" t="s">
        <v>1279</v>
      </c>
      <c r="B714" s="5" t="s">
        <v>1883</v>
      </c>
      <c r="C714" s="2" t="s">
        <v>147</v>
      </c>
      <c r="D714" s="2" t="s">
        <v>450</v>
      </c>
      <c r="E714" s="2">
        <v>2</v>
      </c>
      <c r="F714" s="2">
        <v>75202</v>
      </c>
      <c r="G714" s="2" t="s">
        <v>567</v>
      </c>
      <c r="H714" s="2" t="str">
        <f t="shared" si="11"/>
        <v>("ORD-00713","2024-12-20","SPO-IND-146","CX-057",2,75202,"Wallet"),</v>
      </c>
      <c r="N714" s="2"/>
      <c r="P714" s="4"/>
    </row>
    <row r="715" spans="1:16" x14ac:dyDescent="0.3">
      <c r="A715" s="2" t="s">
        <v>1280</v>
      </c>
      <c r="B715" s="5" t="s">
        <v>1805</v>
      </c>
      <c r="C715" s="2" t="s">
        <v>87</v>
      </c>
      <c r="D715" s="2" t="s">
        <v>358</v>
      </c>
      <c r="E715" s="2">
        <v>2</v>
      </c>
      <c r="F715" s="2">
        <v>100058</v>
      </c>
      <c r="G715" s="2" t="s">
        <v>567</v>
      </c>
      <c r="H715" s="2" t="str">
        <f t="shared" si="11"/>
        <v>("ORD-00714","2025-07-22","HOM-KIT-086","CX-105",2,100058,"Wallet"),</v>
      </c>
      <c r="N715" s="2"/>
      <c r="P715" s="4"/>
    </row>
    <row r="716" spans="1:16" x14ac:dyDescent="0.3">
      <c r="A716" s="2" t="s">
        <v>1281</v>
      </c>
      <c r="B716" s="5" t="s">
        <v>1629</v>
      </c>
      <c r="C716" s="2" t="s">
        <v>50</v>
      </c>
      <c r="D716" s="2" t="s">
        <v>407</v>
      </c>
      <c r="E716" s="2">
        <v>2</v>
      </c>
      <c r="F716" s="2">
        <v>30788</v>
      </c>
      <c r="G716" s="2" t="s">
        <v>563</v>
      </c>
      <c r="H716" s="2" t="str">
        <f t="shared" si="11"/>
        <v>("ORD-00715","2025-10-30","FAS-MEN-049","CX-081",2,30788,"Cash"),</v>
      </c>
      <c r="N716" s="2"/>
      <c r="P716" s="4"/>
    </row>
    <row r="717" spans="1:16" x14ac:dyDescent="0.3">
      <c r="A717" s="2" t="s">
        <v>1282</v>
      </c>
      <c r="B717" s="5" t="s">
        <v>1689</v>
      </c>
      <c r="C717" s="2" t="s">
        <v>98</v>
      </c>
      <c r="D717" s="2" t="s">
        <v>454</v>
      </c>
      <c r="E717" s="2">
        <v>1</v>
      </c>
      <c r="F717" s="2">
        <v>16361</v>
      </c>
      <c r="G717" s="2" t="s">
        <v>570</v>
      </c>
      <c r="H717" s="2" t="str">
        <f t="shared" si="11"/>
        <v>("ORD-00716","2024-12-16","HOM-DEC-097","CX-055",1,16361,"UPI"),</v>
      </c>
      <c r="N717" s="2"/>
      <c r="P717" s="4"/>
    </row>
    <row r="718" spans="1:16" x14ac:dyDescent="0.3">
      <c r="A718" s="2" t="s">
        <v>1283</v>
      </c>
      <c r="B718" s="5" t="s">
        <v>1730</v>
      </c>
      <c r="C718" s="2" t="s">
        <v>23</v>
      </c>
      <c r="D718" s="2" t="s">
        <v>497</v>
      </c>
      <c r="E718" s="2">
        <v>4</v>
      </c>
      <c r="F718" s="2">
        <v>78772</v>
      </c>
      <c r="G718" s="2" t="s">
        <v>570</v>
      </c>
      <c r="H718" s="2" t="str">
        <f t="shared" si="11"/>
        <v>("ORD-00717","2025-05-13","ELE-ACC-022","CX-032",4,78772,"UPI"),</v>
      </c>
      <c r="N718" s="2"/>
      <c r="P718" s="4"/>
    </row>
    <row r="719" spans="1:16" x14ac:dyDescent="0.3">
      <c r="A719" s="2" t="s">
        <v>1284</v>
      </c>
      <c r="B719" s="5" t="s">
        <v>1884</v>
      </c>
      <c r="C719" s="2" t="s">
        <v>198</v>
      </c>
      <c r="D719" s="2" t="s">
        <v>445</v>
      </c>
      <c r="E719" s="2">
        <v>2</v>
      </c>
      <c r="F719" s="2">
        <v>81700</v>
      </c>
      <c r="G719" s="2" t="s">
        <v>572</v>
      </c>
      <c r="H719" s="2" t="str">
        <f t="shared" si="11"/>
        <v>("ORD-00718","2025-04-28","BEA-FRA-197","CX-060",2,81700,"Card"),</v>
      </c>
      <c r="N719" s="2"/>
      <c r="P719" s="4"/>
    </row>
    <row r="720" spans="1:16" x14ac:dyDescent="0.3">
      <c r="A720" s="2" t="s">
        <v>1285</v>
      </c>
      <c r="B720" s="5" t="s">
        <v>1593</v>
      </c>
      <c r="C720" s="2" t="s">
        <v>86</v>
      </c>
      <c r="D720" s="2" t="s">
        <v>533</v>
      </c>
      <c r="E720" s="2">
        <v>1</v>
      </c>
      <c r="F720" s="2">
        <v>25186</v>
      </c>
      <c r="G720" s="2" t="s">
        <v>572</v>
      </c>
      <c r="H720" s="2" t="str">
        <f t="shared" si="11"/>
        <v>("ORD-00719","2025-07-26","HOM-KIT-085","CX-013",1,25186,"Card"),</v>
      </c>
      <c r="N720" s="2"/>
      <c r="P720" s="4"/>
    </row>
    <row r="721" spans="1:16" x14ac:dyDescent="0.3">
      <c r="A721" s="2" t="s">
        <v>1286</v>
      </c>
      <c r="B721" s="5" t="s">
        <v>1605</v>
      </c>
      <c r="C721" s="2" t="s">
        <v>158</v>
      </c>
      <c r="D721" s="2" t="s">
        <v>475</v>
      </c>
      <c r="E721" s="2">
        <v>4</v>
      </c>
      <c r="F721" s="2">
        <v>75920</v>
      </c>
      <c r="G721" s="2" t="s">
        <v>570</v>
      </c>
      <c r="H721" s="2" t="str">
        <f t="shared" si="11"/>
        <v>("ORD-00720","2025-08-16","SPO-ACC-157","CX-044",4,75920,"UPI"),</v>
      </c>
      <c r="N721" s="2"/>
      <c r="P721" s="4"/>
    </row>
    <row r="722" spans="1:16" x14ac:dyDescent="0.3">
      <c r="A722" s="2" t="s">
        <v>1287</v>
      </c>
      <c r="B722" s="5" t="s">
        <v>1632</v>
      </c>
      <c r="C722" s="2" t="s">
        <v>43</v>
      </c>
      <c r="D722" s="2" t="s">
        <v>525</v>
      </c>
      <c r="E722" s="2">
        <v>4</v>
      </c>
      <c r="F722" s="2">
        <v>195260</v>
      </c>
      <c r="G722" s="2" t="s">
        <v>563</v>
      </c>
      <c r="H722" s="2" t="str">
        <f t="shared" si="11"/>
        <v>("ORD-00721","2025-06-01","FAS-MEN-042","CX-017",4,195260,"Cash"),</v>
      </c>
      <c r="N722" s="2"/>
      <c r="P722" s="4"/>
    </row>
    <row r="723" spans="1:16" x14ac:dyDescent="0.3">
      <c r="A723" s="2" t="s">
        <v>1288</v>
      </c>
      <c r="B723" s="5" t="s">
        <v>1607</v>
      </c>
      <c r="C723" s="2" t="s">
        <v>135</v>
      </c>
      <c r="D723" s="2" t="s">
        <v>450</v>
      </c>
      <c r="E723" s="2">
        <v>1</v>
      </c>
      <c r="F723" s="2">
        <v>59464</v>
      </c>
      <c r="G723" s="2" t="s">
        <v>567</v>
      </c>
      <c r="H723" s="2" t="str">
        <f t="shared" si="11"/>
        <v>("ORD-00722","2024-12-21","SPO-OUT-134","CX-057",1,59464,"Wallet"),</v>
      </c>
      <c r="N723" s="2"/>
      <c r="P723" s="4"/>
    </row>
    <row r="724" spans="1:16" x14ac:dyDescent="0.3">
      <c r="A724" s="2" t="s">
        <v>1289</v>
      </c>
      <c r="B724" s="5" t="s">
        <v>1878</v>
      </c>
      <c r="C724" s="2" t="s">
        <v>172</v>
      </c>
      <c r="D724" s="2" t="s">
        <v>408</v>
      </c>
      <c r="E724" s="2">
        <v>5</v>
      </c>
      <c r="F724" s="2">
        <v>290665</v>
      </c>
      <c r="G724" s="2" t="s">
        <v>563</v>
      </c>
      <c r="H724" s="2" t="str">
        <f t="shared" si="11"/>
        <v>("ORD-00723","2024-12-19","BEA-HAI-171","CX-080",5,290665,"Cash"),</v>
      </c>
      <c r="N724" s="2"/>
      <c r="P724" s="4"/>
    </row>
    <row r="725" spans="1:16" x14ac:dyDescent="0.3">
      <c r="A725" s="2" t="s">
        <v>1290</v>
      </c>
      <c r="B725" s="5" t="s">
        <v>1840</v>
      </c>
      <c r="C725" s="2" t="s">
        <v>55</v>
      </c>
      <c r="D725" s="2" t="s">
        <v>509</v>
      </c>
      <c r="E725" s="2">
        <v>4</v>
      </c>
      <c r="F725" s="2">
        <v>15016</v>
      </c>
      <c r="G725" s="2" t="s">
        <v>565</v>
      </c>
      <c r="H725" s="2" t="str">
        <f t="shared" si="11"/>
        <v>("ORD-00724","2024-12-12","FAS-WOM-054","CX-026",4,15016,"NetBanking"),</v>
      </c>
      <c r="N725" s="2"/>
      <c r="P725" s="4"/>
    </row>
    <row r="726" spans="1:16" x14ac:dyDescent="0.3">
      <c r="A726" s="2" t="s">
        <v>1291</v>
      </c>
      <c r="B726" s="5" t="s">
        <v>1745</v>
      </c>
      <c r="C726" s="2" t="s">
        <v>31</v>
      </c>
      <c r="D726" s="2" t="s">
        <v>424</v>
      </c>
      <c r="E726" s="2">
        <v>5</v>
      </c>
      <c r="F726" s="2">
        <v>190170</v>
      </c>
      <c r="G726" s="2" t="s">
        <v>563</v>
      </c>
      <c r="H726" s="2" t="str">
        <f t="shared" si="11"/>
        <v>("ORD-00725","2025-07-31","ELE-ACC-030","CX-072",5,190170,"Cash"),</v>
      </c>
      <c r="N726" s="2"/>
      <c r="P726" s="4"/>
    </row>
    <row r="727" spans="1:16" x14ac:dyDescent="0.3">
      <c r="A727" s="2" t="s">
        <v>1292</v>
      </c>
      <c r="B727" s="5" t="s">
        <v>1731</v>
      </c>
      <c r="C727" s="2" t="s">
        <v>114</v>
      </c>
      <c r="D727" s="2" t="s">
        <v>358</v>
      </c>
      <c r="E727" s="2">
        <v>3</v>
      </c>
      <c r="F727" s="2">
        <v>109089</v>
      </c>
      <c r="G727" s="2" t="s">
        <v>570</v>
      </c>
      <c r="H727" s="2" t="str">
        <f t="shared" si="11"/>
        <v>("ORD-00726","2024-12-15","HOM-FUR-113","CX-105",3,109089,"UPI"),</v>
      </c>
      <c r="N727" s="2"/>
      <c r="P727" s="4"/>
    </row>
    <row r="728" spans="1:16" x14ac:dyDescent="0.3">
      <c r="A728" s="2" t="s">
        <v>1293</v>
      </c>
      <c r="B728" s="5" t="s">
        <v>1756</v>
      </c>
      <c r="C728" s="2" t="s">
        <v>192</v>
      </c>
      <c r="D728" s="2" t="s">
        <v>529</v>
      </c>
      <c r="E728" s="2">
        <v>2</v>
      </c>
      <c r="F728" s="2">
        <v>109110</v>
      </c>
      <c r="G728" s="2" t="s">
        <v>565</v>
      </c>
      <c r="H728" s="2" t="str">
        <f t="shared" si="11"/>
        <v>("ORD-00727","2025-04-04","BEA-FRA-191","CX-015",2,109110,"NetBanking"),</v>
      </c>
      <c r="N728" s="2"/>
      <c r="P728" s="4"/>
    </row>
    <row r="729" spans="1:16" x14ac:dyDescent="0.3">
      <c r="A729" s="2" t="s">
        <v>1294</v>
      </c>
      <c r="B729" s="5" t="s">
        <v>1700</v>
      </c>
      <c r="C729" s="2" t="s">
        <v>192</v>
      </c>
      <c r="D729" s="2" t="s">
        <v>546</v>
      </c>
      <c r="E729" s="2">
        <v>3</v>
      </c>
      <c r="F729" s="2">
        <v>163665</v>
      </c>
      <c r="G729" s="2" t="s">
        <v>567</v>
      </c>
      <c r="H729" s="2" t="str">
        <f t="shared" si="11"/>
        <v>("ORD-00728","2025-09-02","BEA-FRA-191","CX-006",3,163665,"Wallet"),</v>
      </c>
      <c r="N729" s="2"/>
      <c r="P729" s="4"/>
    </row>
    <row r="730" spans="1:16" x14ac:dyDescent="0.3">
      <c r="A730" s="2" t="s">
        <v>1295</v>
      </c>
      <c r="B730" s="5" t="s">
        <v>1705</v>
      </c>
      <c r="C730" s="2" t="s">
        <v>69</v>
      </c>
      <c r="D730" s="2" t="s">
        <v>331</v>
      </c>
      <c r="E730" s="2">
        <v>4</v>
      </c>
      <c r="F730" s="2">
        <v>61212</v>
      </c>
      <c r="G730" s="2" t="s">
        <v>570</v>
      </c>
      <c r="H730" s="2" t="str">
        <f t="shared" si="11"/>
        <v>("ORD-00729","2025-10-03","FAS-KID-068","CX-116",4,61212,"UPI"),</v>
      </c>
      <c r="N730" s="2"/>
      <c r="P730" s="4"/>
    </row>
    <row r="731" spans="1:16" x14ac:dyDescent="0.3">
      <c r="A731" s="2" t="s">
        <v>1296</v>
      </c>
      <c r="B731" s="5" t="s">
        <v>1653</v>
      </c>
      <c r="C731" s="2" t="s">
        <v>106</v>
      </c>
      <c r="D731" s="2" t="s">
        <v>331</v>
      </c>
      <c r="E731" s="2">
        <v>5</v>
      </c>
      <c r="F731" s="2">
        <v>11110</v>
      </c>
      <c r="G731" s="2" t="s">
        <v>563</v>
      </c>
      <c r="H731" s="2" t="str">
        <f t="shared" si="11"/>
        <v>("ORD-00730","2025-04-30","HOM-APP-105","CX-116",5,11110,"Cash"),</v>
      </c>
      <c r="N731" s="2"/>
      <c r="P731" s="4"/>
    </row>
    <row r="732" spans="1:16" x14ac:dyDescent="0.3">
      <c r="A732" s="2" t="s">
        <v>1297</v>
      </c>
      <c r="B732" s="5" t="s">
        <v>1861</v>
      </c>
      <c r="C732" s="2" t="s">
        <v>47</v>
      </c>
      <c r="D732" s="2" t="s">
        <v>555</v>
      </c>
      <c r="E732" s="2">
        <v>5</v>
      </c>
      <c r="F732" s="2">
        <v>67810</v>
      </c>
      <c r="G732" s="2" t="s">
        <v>565</v>
      </c>
      <c r="H732" s="2" t="str">
        <f t="shared" si="11"/>
        <v>("ORD-00731","2024-12-05","FAS-MEN-046","CX-001",5,67810,"NetBanking"),</v>
      </c>
      <c r="N732" s="2"/>
      <c r="P732" s="4"/>
    </row>
    <row r="733" spans="1:16" x14ac:dyDescent="0.3">
      <c r="A733" s="2" t="s">
        <v>1298</v>
      </c>
      <c r="B733" s="5" t="s">
        <v>1781</v>
      </c>
      <c r="C733" s="2" t="s">
        <v>50</v>
      </c>
      <c r="D733" s="2" t="s">
        <v>507</v>
      </c>
      <c r="E733" s="2">
        <v>5</v>
      </c>
      <c r="F733" s="2">
        <v>76970</v>
      </c>
      <c r="G733" s="2" t="s">
        <v>563</v>
      </c>
      <c r="H733" s="2" t="str">
        <f t="shared" si="11"/>
        <v>("ORD-00732","2025-07-12","FAS-MEN-049","CX-027",5,76970,"Cash"),</v>
      </c>
      <c r="N733" s="2"/>
      <c r="P733" s="4"/>
    </row>
    <row r="734" spans="1:16" x14ac:dyDescent="0.3">
      <c r="A734" s="2" t="s">
        <v>1299</v>
      </c>
      <c r="B734" s="5" t="s">
        <v>1885</v>
      </c>
      <c r="C734" s="2" t="s">
        <v>187</v>
      </c>
      <c r="D734" s="2" t="s">
        <v>322</v>
      </c>
      <c r="E734" s="2">
        <v>3</v>
      </c>
      <c r="F734" s="2">
        <v>42519</v>
      </c>
      <c r="G734" s="2" t="s">
        <v>570</v>
      </c>
      <c r="H734" s="2" t="str">
        <f t="shared" si="11"/>
        <v>("ORD-00733","2025-02-09","BEA-MAK-186","CX-119",3,42519,"UPI"),</v>
      </c>
      <c r="N734" s="2"/>
      <c r="P734" s="4"/>
    </row>
    <row r="735" spans="1:16" x14ac:dyDescent="0.3">
      <c r="A735" s="2" t="s">
        <v>1300</v>
      </c>
      <c r="B735" s="5" t="s">
        <v>1886</v>
      </c>
      <c r="C735" s="2" t="s">
        <v>24</v>
      </c>
      <c r="D735" s="2" t="s">
        <v>378</v>
      </c>
      <c r="E735" s="2">
        <v>4</v>
      </c>
      <c r="F735" s="2">
        <v>162436</v>
      </c>
      <c r="G735" s="2" t="s">
        <v>567</v>
      </c>
      <c r="H735" s="2" t="str">
        <f t="shared" si="11"/>
        <v>("ORD-00734","2025-06-28","ELE-ACC-023","CX-095",4,162436,"Wallet"),</v>
      </c>
      <c r="N735" s="2"/>
      <c r="P735" s="4"/>
    </row>
    <row r="736" spans="1:16" x14ac:dyDescent="0.3">
      <c r="A736" s="2" t="s">
        <v>1301</v>
      </c>
      <c r="B736" s="5" t="s">
        <v>1584</v>
      </c>
      <c r="C736" s="2" t="s">
        <v>107</v>
      </c>
      <c r="D736" s="2" t="s">
        <v>448</v>
      </c>
      <c r="E736" s="2">
        <v>4</v>
      </c>
      <c r="F736" s="2">
        <v>42960</v>
      </c>
      <c r="G736" s="2" t="s">
        <v>572</v>
      </c>
      <c r="H736" s="2" t="str">
        <f t="shared" si="11"/>
        <v>("ORD-00735","2025-08-06","HOM-APP-106","CX-058",4,42960,"Card"),</v>
      </c>
      <c r="N736" s="2"/>
      <c r="P736" s="4"/>
    </row>
    <row r="737" spans="1:16" x14ac:dyDescent="0.3">
      <c r="A737" s="2" t="s">
        <v>1302</v>
      </c>
      <c r="B737" s="5" t="s">
        <v>1700</v>
      </c>
      <c r="C737" s="2" t="s">
        <v>34</v>
      </c>
      <c r="D737" s="2" t="s">
        <v>322</v>
      </c>
      <c r="E737" s="2">
        <v>5</v>
      </c>
      <c r="F737" s="2">
        <v>175880</v>
      </c>
      <c r="G737" s="2" t="s">
        <v>563</v>
      </c>
      <c r="H737" s="2" t="str">
        <f t="shared" si="11"/>
        <v>("ORD-00736","2025-09-02","ELE-CAM-033","CX-119",5,175880,"Cash"),</v>
      </c>
      <c r="N737" s="2"/>
      <c r="P737" s="4"/>
    </row>
    <row r="738" spans="1:16" x14ac:dyDescent="0.3">
      <c r="A738" s="2" t="s">
        <v>1303</v>
      </c>
      <c r="B738" s="5" t="s">
        <v>1717</v>
      </c>
      <c r="C738" s="2" t="s">
        <v>198</v>
      </c>
      <c r="D738" s="2" t="s">
        <v>553</v>
      </c>
      <c r="E738" s="2">
        <v>5</v>
      </c>
      <c r="F738" s="2">
        <v>204250</v>
      </c>
      <c r="G738" s="2" t="s">
        <v>563</v>
      </c>
      <c r="H738" s="2" t="str">
        <f t="shared" si="11"/>
        <v>("ORD-00737","2025-07-15","BEA-FRA-197","CX-002",5,204250,"Cash"),</v>
      </c>
      <c r="N738" s="2"/>
      <c r="P738" s="4"/>
    </row>
    <row r="739" spans="1:16" x14ac:dyDescent="0.3">
      <c r="A739" s="2" t="s">
        <v>1304</v>
      </c>
      <c r="B739" s="5" t="s">
        <v>1743</v>
      </c>
      <c r="C739" s="2" t="s">
        <v>194</v>
      </c>
      <c r="D739" s="2" t="s">
        <v>481</v>
      </c>
      <c r="E739" s="2">
        <v>5</v>
      </c>
      <c r="F739" s="2">
        <v>148110</v>
      </c>
      <c r="G739" s="2" t="s">
        <v>572</v>
      </c>
      <c r="H739" s="2" t="str">
        <f t="shared" si="11"/>
        <v>("ORD-00738","2025-06-10","BEA-FRA-193","CX-041",5,148110,"Card"),</v>
      </c>
      <c r="N739" s="2"/>
      <c r="P739" s="4"/>
    </row>
    <row r="740" spans="1:16" x14ac:dyDescent="0.3">
      <c r="A740" s="2" t="s">
        <v>1305</v>
      </c>
      <c r="B740" s="5" t="s">
        <v>1627</v>
      </c>
      <c r="C740" s="2" t="s">
        <v>77</v>
      </c>
      <c r="D740" s="2" t="s">
        <v>380</v>
      </c>
      <c r="E740" s="2">
        <v>2</v>
      </c>
      <c r="F740" s="2">
        <v>60910</v>
      </c>
      <c r="G740" s="2" t="s">
        <v>567</v>
      </c>
      <c r="H740" s="2" t="str">
        <f t="shared" si="11"/>
        <v>("ORD-00739","2025-11-23","FAS-FOO-076","CX-094",2,60910,"Wallet"),</v>
      </c>
      <c r="N740" s="2"/>
      <c r="P740" s="4"/>
    </row>
    <row r="741" spans="1:16" x14ac:dyDescent="0.3">
      <c r="A741" s="2" t="s">
        <v>1306</v>
      </c>
      <c r="B741" s="5" t="s">
        <v>1603</v>
      </c>
      <c r="C741" s="2" t="s">
        <v>200</v>
      </c>
      <c r="D741" s="2" t="s">
        <v>537</v>
      </c>
      <c r="E741" s="2">
        <v>3</v>
      </c>
      <c r="F741" s="2">
        <v>20202</v>
      </c>
      <c r="G741" s="2" t="s">
        <v>565</v>
      </c>
      <c r="H741" s="2" t="str">
        <f t="shared" si="11"/>
        <v>("ORD-00740","2025-09-03","BEA-FRA-199","CX-011",3,20202,"NetBanking"),</v>
      </c>
      <c r="N741" s="2"/>
      <c r="P741" s="4"/>
    </row>
    <row r="742" spans="1:16" x14ac:dyDescent="0.3">
      <c r="A742" s="2" t="s">
        <v>1307</v>
      </c>
      <c r="B742" s="5" t="s">
        <v>1642</v>
      </c>
      <c r="C742" s="2" t="s">
        <v>134</v>
      </c>
      <c r="D742" s="2" t="s">
        <v>460</v>
      </c>
      <c r="E742" s="2">
        <v>4</v>
      </c>
      <c r="F742" s="2">
        <v>14832</v>
      </c>
      <c r="G742" s="2" t="s">
        <v>567</v>
      </c>
      <c r="H742" s="2" t="str">
        <f t="shared" si="11"/>
        <v>("ORD-00741","2024-12-28","SPO-OUT-133","CX-052",4,14832,"Wallet"),</v>
      </c>
      <c r="N742" s="2"/>
      <c r="P742" s="4"/>
    </row>
    <row r="743" spans="1:16" x14ac:dyDescent="0.3">
      <c r="A743" s="2" t="s">
        <v>1308</v>
      </c>
      <c r="B743" s="5" t="s">
        <v>1887</v>
      </c>
      <c r="C743" s="2" t="s">
        <v>175</v>
      </c>
      <c r="D743" s="2" t="s">
        <v>507</v>
      </c>
      <c r="E743" s="2">
        <v>1</v>
      </c>
      <c r="F743" s="2">
        <v>45995</v>
      </c>
      <c r="G743" s="2" t="s">
        <v>572</v>
      </c>
      <c r="H743" s="2" t="str">
        <f t="shared" si="11"/>
        <v>("ORD-00742","2025-05-20","BEA-HAI-174","CX-027",1,45995,"Card"),</v>
      </c>
      <c r="N743" s="2"/>
      <c r="P743" s="4"/>
    </row>
    <row r="744" spans="1:16" x14ac:dyDescent="0.3">
      <c r="A744" s="2" t="s">
        <v>1309</v>
      </c>
      <c r="B744" s="5" t="s">
        <v>1699</v>
      </c>
      <c r="C744" s="2" t="s">
        <v>76</v>
      </c>
      <c r="D744" s="2" t="s">
        <v>356</v>
      </c>
      <c r="E744" s="2">
        <v>1</v>
      </c>
      <c r="F744" s="2">
        <v>48782</v>
      </c>
      <c r="G744" s="2" t="s">
        <v>565</v>
      </c>
      <c r="H744" s="2" t="str">
        <f t="shared" si="11"/>
        <v>("ORD-00743","2025-05-24","FAS-FOO-075","CX-106",1,48782,"NetBanking"),</v>
      </c>
      <c r="N744" s="2"/>
      <c r="P744" s="4"/>
    </row>
    <row r="745" spans="1:16" x14ac:dyDescent="0.3">
      <c r="A745" s="2" t="s">
        <v>1310</v>
      </c>
      <c r="B745" s="5" t="s">
        <v>1888</v>
      </c>
      <c r="C745" s="2" t="s">
        <v>82</v>
      </c>
      <c r="D745" s="2" t="s">
        <v>462</v>
      </c>
      <c r="E745" s="2">
        <v>2</v>
      </c>
      <c r="F745" s="2">
        <v>40406</v>
      </c>
      <c r="G745" s="2" t="s">
        <v>572</v>
      </c>
      <c r="H745" s="2" t="str">
        <f t="shared" si="11"/>
        <v>("ORD-00744","2025-10-01","HOM-KIT-081","CX-051",2,40406,"Card"),</v>
      </c>
      <c r="N745" s="2"/>
      <c r="P745" s="4"/>
    </row>
    <row r="746" spans="1:16" x14ac:dyDescent="0.3">
      <c r="A746" s="2" t="s">
        <v>1311</v>
      </c>
      <c r="B746" s="5" t="s">
        <v>1663</v>
      </c>
      <c r="C746" s="2" t="s">
        <v>148</v>
      </c>
      <c r="D746" s="2" t="s">
        <v>537</v>
      </c>
      <c r="E746" s="2">
        <v>3</v>
      </c>
      <c r="F746" s="2">
        <v>82398</v>
      </c>
      <c r="G746" s="2" t="s">
        <v>567</v>
      </c>
      <c r="H746" s="2" t="str">
        <f t="shared" si="11"/>
        <v>("ORD-00745","2025-01-18","SPO-IND-147","CX-011",3,82398,"Wallet"),</v>
      </c>
      <c r="N746" s="2"/>
      <c r="P746" s="4"/>
    </row>
    <row r="747" spans="1:16" x14ac:dyDescent="0.3">
      <c r="A747" s="2" t="s">
        <v>1312</v>
      </c>
      <c r="B747" s="5" t="s">
        <v>1717</v>
      </c>
      <c r="C747" s="2" t="s">
        <v>172</v>
      </c>
      <c r="D747" s="2" t="s">
        <v>387</v>
      </c>
      <c r="E747" s="2">
        <v>4</v>
      </c>
      <c r="F747" s="2">
        <v>232532</v>
      </c>
      <c r="G747" s="2" t="s">
        <v>570</v>
      </c>
      <c r="H747" s="2" t="str">
        <f t="shared" si="11"/>
        <v>("ORD-00746","2025-07-15","BEA-HAI-171","CX-091",4,232532,"UPI"),</v>
      </c>
      <c r="N747" s="2"/>
      <c r="P747" s="4"/>
    </row>
    <row r="748" spans="1:16" x14ac:dyDescent="0.3">
      <c r="A748" s="2" t="s">
        <v>1313</v>
      </c>
      <c r="B748" s="5" t="s">
        <v>1889</v>
      </c>
      <c r="C748" s="2" t="s">
        <v>183</v>
      </c>
      <c r="D748" s="2" t="s">
        <v>485</v>
      </c>
      <c r="E748" s="2">
        <v>1</v>
      </c>
      <c r="F748" s="2">
        <v>37739</v>
      </c>
      <c r="G748" s="2" t="s">
        <v>572</v>
      </c>
      <c r="H748" s="2" t="str">
        <f t="shared" si="11"/>
        <v>("ORD-00747","2025-02-13","BEA-MAK-182","CX-039",1,37739,"Card"),</v>
      </c>
      <c r="N748" s="2"/>
      <c r="P748" s="4"/>
    </row>
    <row r="749" spans="1:16" x14ac:dyDescent="0.3">
      <c r="A749" s="2" t="s">
        <v>1314</v>
      </c>
      <c r="B749" s="5" t="s">
        <v>1758</v>
      </c>
      <c r="C749" s="2" t="s">
        <v>173</v>
      </c>
      <c r="D749" s="2" t="s">
        <v>551</v>
      </c>
      <c r="E749" s="2">
        <v>4</v>
      </c>
      <c r="F749" s="2">
        <v>111668</v>
      </c>
      <c r="G749" s="2" t="s">
        <v>563</v>
      </c>
      <c r="H749" s="2" t="str">
        <f t="shared" si="11"/>
        <v>("ORD-00748","2025-03-15","BEA-HAI-172","CX-003",4,111668,"Cash"),</v>
      </c>
      <c r="N749" s="2"/>
      <c r="P749" s="4"/>
    </row>
    <row r="750" spans="1:16" x14ac:dyDescent="0.3">
      <c r="A750" s="2" t="s">
        <v>1315</v>
      </c>
      <c r="B750" s="5" t="s">
        <v>1662</v>
      </c>
      <c r="C750" s="2" t="s">
        <v>77</v>
      </c>
      <c r="D750" s="2" t="s">
        <v>342</v>
      </c>
      <c r="E750" s="2">
        <v>2</v>
      </c>
      <c r="F750" s="2">
        <v>60910</v>
      </c>
      <c r="G750" s="2" t="s">
        <v>567</v>
      </c>
      <c r="H750" s="2" t="str">
        <f t="shared" si="11"/>
        <v>("ORD-00749","2025-01-21","FAS-FOO-076","CX-112",2,60910,"Wallet"),</v>
      </c>
      <c r="N750" s="2"/>
      <c r="P750" s="4"/>
    </row>
    <row r="751" spans="1:16" x14ac:dyDescent="0.3">
      <c r="A751" s="2" t="s">
        <v>1316</v>
      </c>
      <c r="B751" s="5" t="s">
        <v>1593</v>
      </c>
      <c r="C751" s="2" t="s">
        <v>130</v>
      </c>
      <c r="D751" s="2" t="s">
        <v>513</v>
      </c>
      <c r="E751" s="2">
        <v>2</v>
      </c>
      <c r="F751" s="2">
        <v>61302</v>
      </c>
      <c r="G751" s="2" t="s">
        <v>567</v>
      </c>
      <c r="H751" s="2" t="str">
        <f t="shared" si="11"/>
        <v>("ORD-00750","2025-07-26","SPO-FIT-129","CX-024",2,61302,"Wallet"),</v>
      </c>
      <c r="N751" s="2"/>
      <c r="P751" s="4"/>
    </row>
    <row r="752" spans="1:16" x14ac:dyDescent="0.3">
      <c r="A752" s="2" t="s">
        <v>1317</v>
      </c>
      <c r="B752" s="5" t="s">
        <v>1719</v>
      </c>
      <c r="C752" s="2" t="s">
        <v>140</v>
      </c>
      <c r="D752" s="2" t="s">
        <v>475</v>
      </c>
      <c r="E752" s="2">
        <v>1</v>
      </c>
      <c r="F752" s="2">
        <v>17876</v>
      </c>
      <c r="G752" s="2" t="s">
        <v>572</v>
      </c>
      <c r="H752" s="2" t="str">
        <f t="shared" si="11"/>
        <v>("ORD-00751","2025-03-20","SPO-OUT-139","CX-044",1,17876,"Card"),</v>
      </c>
      <c r="N752" s="2"/>
      <c r="P752" s="4"/>
    </row>
    <row r="753" spans="1:16" x14ac:dyDescent="0.3">
      <c r="A753" s="2" t="s">
        <v>1318</v>
      </c>
      <c r="B753" s="5" t="s">
        <v>1705</v>
      </c>
      <c r="C753" s="2" t="s">
        <v>29</v>
      </c>
      <c r="D753" s="2" t="s">
        <v>322</v>
      </c>
      <c r="E753" s="2">
        <v>2</v>
      </c>
      <c r="F753" s="2">
        <v>34838</v>
      </c>
      <c r="G753" s="2" t="s">
        <v>567</v>
      </c>
      <c r="H753" s="2" t="str">
        <f t="shared" si="11"/>
        <v>("ORD-00752","2025-10-03","ELE-ACC-028","CX-119",2,34838,"Wallet"),</v>
      </c>
      <c r="N753" s="2"/>
      <c r="P753" s="4"/>
    </row>
    <row r="754" spans="1:16" x14ac:dyDescent="0.3">
      <c r="A754" s="2" t="s">
        <v>1319</v>
      </c>
      <c r="B754" s="5" t="s">
        <v>1659</v>
      </c>
      <c r="C754" s="2" t="s">
        <v>164</v>
      </c>
      <c r="D754" s="2" t="s">
        <v>372</v>
      </c>
      <c r="E754" s="2">
        <v>3</v>
      </c>
      <c r="F754" s="2">
        <v>163416</v>
      </c>
      <c r="G754" s="2" t="s">
        <v>563</v>
      </c>
      <c r="H754" s="2" t="str">
        <f t="shared" si="11"/>
        <v>("ORD-00753","2025-02-22","BEA-SKI-163","CX-098",3,163416,"Cash"),</v>
      </c>
      <c r="N754" s="2"/>
      <c r="P754" s="4"/>
    </row>
    <row r="755" spans="1:16" x14ac:dyDescent="0.3">
      <c r="A755" s="2" t="s">
        <v>1320</v>
      </c>
      <c r="B755" s="5" t="s">
        <v>1863</v>
      </c>
      <c r="C755" s="2" t="s">
        <v>124</v>
      </c>
      <c r="D755" s="2" t="s">
        <v>362</v>
      </c>
      <c r="E755" s="2">
        <v>2</v>
      </c>
      <c r="F755" s="2">
        <v>102792</v>
      </c>
      <c r="G755" s="2" t="s">
        <v>563</v>
      </c>
      <c r="H755" s="2" t="str">
        <f t="shared" si="11"/>
        <v>("ORD-00754","2025-11-21","SPO-FIT-123","CX-103",2,102792,"Cash"),</v>
      </c>
      <c r="N755" s="2"/>
      <c r="P755" s="4"/>
    </row>
    <row r="756" spans="1:16" x14ac:dyDescent="0.3">
      <c r="A756" s="2" t="s">
        <v>1321</v>
      </c>
      <c r="B756" s="5" t="s">
        <v>1713</v>
      </c>
      <c r="C756" s="2" t="s">
        <v>166</v>
      </c>
      <c r="D756" s="2" t="s">
        <v>445</v>
      </c>
      <c r="E756" s="2">
        <v>1</v>
      </c>
      <c r="F756" s="2">
        <v>39642</v>
      </c>
      <c r="G756" s="2" t="s">
        <v>567</v>
      </c>
      <c r="H756" s="2" t="str">
        <f t="shared" si="11"/>
        <v>("ORD-00755","2025-04-06","BEA-SKI-165","CX-060",1,39642,"Wallet"),</v>
      </c>
      <c r="N756" s="2"/>
      <c r="P756" s="4"/>
    </row>
    <row r="757" spans="1:16" x14ac:dyDescent="0.3">
      <c r="A757" s="2" t="s">
        <v>1322</v>
      </c>
      <c r="B757" s="5" t="s">
        <v>1825</v>
      </c>
      <c r="C757" s="2" t="s">
        <v>84</v>
      </c>
      <c r="D757" s="2" t="s">
        <v>439</v>
      </c>
      <c r="E757" s="2">
        <v>3</v>
      </c>
      <c r="F757" s="2">
        <v>1158</v>
      </c>
      <c r="G757" s="2" t="s">
        <v>567</v>
      </c>
      <c r="H757" s="2" t="str">
        <f t="shared" si="11"/>
        <v>("ORD-00756","2025-09-23","HOM-KIT-083","CX-063",3,1158,"Wallet"),</v>
      </c>
      <c r="N757" s="2"/>
      <c r="P757" s="4"/>
    </row>
    <row r="758" spans="1:16" x14ac:dyDescent="0.3">
      <c r="A758" s="2" t="s">
        <v>1323</v>
      </c>
      <c r="B758" s="5" t="s">
        <v>1737</v>
      </c>
      <c r="C758" s="2" t="s">
        <v>176</v>
      </c>
      <c r="D758" s="2" t="s">
        <v>448</v>
      </c>
      <c r="E758" s="2">
        <v>4</v>
      </c>
      <c r="F758" s="2">
        <v>105620</v>
      </c>
      <c r="G758" s="2" t="s">
        <v>565</v>
      </c>
      <c r="H758" s="2" t="str">
        <f t="shared" si="11"/>
        <v>("ORD-00757","2025-02-02","BEA-HAI-175","CX-058",4,105620,"NetBanking"),</v>
      </c>
      <c r="N758" s="2"/>
      <c r="P758" s="4"/>
    </row>
    <row r="759" spans="1:16" x14ac:dyDescent="0.3">
      <c r="A759" s="2" t="s">
        <v>1324</v>
      </c>
      <c r="B759" s="5" t="s">
        <v>1813</v>
      </c>
      <c r="C759" s="2" t="s">
        <v>78</v>
      </c>
      <c r="D759" s="2" t="s">
        <v>487</v>
      </c>
      <c r="E759" s="2">
        <v>3</v>
      </c>
      <c r="F759" s="2">
        <v>157335</v>
      </c>
      <c r="G759" s="2" t="s">
        <v>570</v>
      </c>
      <c r="H759" s="2" t="str">
        <f t="shared" si="11"/>
        <v>("ORD-00758","2025-09-24","FAS-FOO-077","CX-037",3,157335,"UPI"),</v>
      </c>
      <c r="N759" s="2"/>
      <c r="P759" s="4"/>
    </row>
    <row r="760" spans="1:16" x14ac:dyDescent="0.3">
      <c r="A760" s="2" t="s">
        <v>1325</v>
      </c>
      <c r="B760" s="5" t="s">
        <v>1605</v>
      </c>
      <c r="C760" s="2" t="s">
        <v>90</v>
      </c>
      <c r="D760" s="2" t="s">
        <v>467</v>
      </c>
      <c r="E760" s="2">
        <v>2</v>
      </c>
      <c r="F760" s="2">
        <v>110142</v>
      </c>
      <c r="G760" s="2" t="s">
        <v>572</v>
      </c>
      <c r="H760" s="2" t="str">
        <f t="shared" si="11"/>
        <v>("ORD-00759","2025-08-16","HOM-KIT-089","CX-048",2,110142,"Card"),</v>
      </c>
      <c r="N760" s="2"/>
      <c r="P760" s="4"/>
    </row>
    <row r="761" spans="1:16" x14ac:dyDescent="0.3">
      <c r="A761" s="2" t="s">
        <v>1326</v>
      </c>
      <c r="B761" s="5" t="s">
        <v>1812</v>
      </c>
      <c r="C761" s="2" t="s">
        <v>109</v>
      </c>
      <c r="D761" s="2" t="s">
        <v>331</v>
      </c>
      <c r="E761" s="2">
        <v>2</v>
      </c>
      <c r="F761" s="2">
        <v>37924</v>
      </c>
      <c r="G761" s="2" t="s">
        <v>570</v>
      </c>
      <c r="H761" s="2" t="str">
        <f t="shared" si="11"/>
        <v>("ORD-00760","2025-05-07","HOM-APP-108","CX-116",2,37924,"UPI"),</v>
      </c>
      <c r="N761" s="2"/>
      <c r="P761" s="4"/>
    </row>
    <row r="762" spans="1:16" x14ac:dyDescent="0.3">
      <c r="A762" s="2" t="s">
        <v>1327</v>
      </c>
      <c r="B762" s="5" t="s">
        <v>1579</v>
      </c>
      <c r="C762" s="2" t="s">
        <v>12</v>
      </c>
      <c r="D762" s="2" t="s">
        <v>422</v>
      </c>
      <c r="E762" s="2">
        <v>3</v>
      </c>
      <c r="F762" s="2">
        <v>130935</v>
      </c>
      <c r="G762" s="2" t="s">
        <v>572</v>
      </c>
      <c r="H762" s="2" t="str">
        <f t="shared" si="11"/>
        <v>("ORD-00761","2025-03-02","ELE-LAP-011","CX-073",3,130935,"Card"),</v>
      </c>
      <c r="N762" s="2"/>
      <c r="P762" s="4"/>
    </row>
    <row r="763" spans="1:16" x14ac:dyDescent="0.3">
      <c r="A763" s="2" t="s">
        <v>1328</v>
      </c>
      <c r="B763" s="5" t="s">
        <v>1629</v>
      </c>
      <c r="C763" s="2" t="s">
        <v>92</v>
      </c>
      <c r="D763" s="2" t="s">
        <v>420</v>
      </c>
      <c r="E763" s="2">
        <v>1</v>
      </c>
      <c r="F763" s="2">
        <v>25398</v>
      </c>
      <c r="G763" s="2" t="s">
        <v>563</v>
      </c>
      <c r="H763" s="2" t="str">
        <f t="shared" si="11"/>
        <v>("ORD-00762","2025-10-30","HOM-DEC-091","CX-074",1,25398,"Cash"),</v>
      </c>
      <c r="N763" s="2"/>
      <c r="P763" s="4"/>
    </row>
    <row r="764" spans="1:16" x14ac:dyDescent="0.3">
      <c r="A764" s="2" t="s">
        <v>1329</v>
      </c>
      <c r="B764" s="5" t="s">
        <v>1813</v>
      </c>
      <c r="C764" s="2" t="s">
        <v>102</v>
      </c>
      <c r="D764" s="2" t="s">
        <v>460</v>
      </c>
      <c r="E764" s="2">
        <v>4</v>
      </c>
      <c r="F764" s="2">
        <v>210932</v>
      </c>
      <c r="G764" s="2" t="s">
        <v>570</v>
      </c>
      <c r="H764" s="2" t="str">
        <f t="shared" si="11"/>
        <v>("ORD-00763","2025-09-24","HOM-APP-101","CX-052",4,210932,"UPI"),</v>
      </c>
      <c r="N764" s="2"/>
      <c r="P764" s="4"/>
    </row>
    <row r="765" spans="1:16" x14ac:dyDescent="0.3">
      <c r="A765" s="2" t="s">
        <v>1330</v>
      </c>
      <c r="B765" s="5" t="s">
        <v>1803</v>
      </c>
      <c r="C765" s="2" t="s">
        <v>86</v>
      </c>
      <c r="D765" s="2" t="s">
        <v>437</v>
      </c>
      <c r="E765" s="2">
        <v>1</v>
      </c>
      <c r="F765" s="2">
        <v>25186</v>
      </c>
      <c r="G765" s="2" t="s">
        <v>565</v>
      </c>
      <c r="H765" s="2" t="str">
        <f t="shared" si="11"/>
        <v>("ORD-00764","2025-02-16","HOM-KIT-085","CX-064",1,25186,"NetBanking"),</v>
      </c>
      <c r="N765" s="2"/>
      <c r="P765" s="4"/>
    </row>
    <row r="766" spans="1:16" x14ac:dyDescent="0.3">
      <c r="A766" s="2" t="s">
        <v>1331</v>
      </c>
      <c r="B766" s="5" t="s">
        <v>1857</v>
      </c>
      <c r="C766" s="2" t="s">
        <v>168</v>
      </c>
      <c r="D766" s="2" t="s">
        <v>382</v>
      </c>
      <c r="E766" s="2">
        <v>1</v>
      </c>
      <c r="F766" s="2">
        <v>57187</v>
      </c>
      <c r="G766" s="2" t="s">
        <v>572</v>
      </c>
      <c r="H766" s="2" t="str">
        <f t="shared" si="11"/>
        <v>("ORD-00765","2025-09-08","BEA-SKI-167","CX-093",1,57187,"Card"),</v>
      </c>
      <c r="N766" s="2"/>
      <c r="P766" s="4"/>
    </row>
    <row r="767" spans="1:16" x14ac:dyDescent="0.3">
      <c r="A767" s="2" t="s">
        <v>1332</v>
      </c>
      <c r="B767" s="5" t="s">
        <v>1890</v>
      </c>
      <c r="C767" s="2" t="s">
        <v>51</v>
      </c>
      <c r="D767" s="2" t="s">
        <v>356</v>
      </c>
      <c r="E767" s="2">
        <v>3</v>
      </c>
      <c r="F767" s="2">
        <v>48138</v>
      </c>
      <c r="G767" s="2" t="s">
        <v>567</v>
      </c>
      <c r="H767" s="2" t="str">
        <f t="shared" si="11"/>
        <v>("ORD-00766","2025-04-17","FAS-MEN-050","CX-106",3,48138,"Wallet"),</v>
      </c>
      <c r="N767" s="2"/>
      <c r="P767" s="4"/>
    </row>
    <row r="768" spans="1:16" x14ac:dyDescent="0.3">
      <c r="A768" s="2" t="s">
        <v>1333</v>
      </c>
      <c r="B768" s="5" t="s">
        <v>1869</v>
      </c>
      <c r="C768" s="2" t="s">
        <v>42</v>
      </c>
      <c r="D768" s="2" t="s">
        <v>486</v>
      </c>
      <c r="E768" s="2">
        <v>4</v>
      </c>
      <c r="F768" s="2">
        <v>118724</v>
      </c>
      <c r="G768" s="2" t="s">
        <v>567</v>
      </c>
      <c r="H768" s="2" t="str">
        <f t="shared" si="11"/>
        <v>("ORD-00767","2025-06-06","FAS-MEN-041","CX-038",4,118724,"Wallet"),</v>
      </c>
      <c r="N768" s="2"/>
      <c r="P768" s="4"/>
    </row>
    <row r="769" spans="1:16" x14ac:dyDescent="0.3">
      <c r="A769" s="2" t="s">
        <v>1334</v>
      </c>
      <c r="B769" s="5" t="s">
        <v>1809</v>
      </c>
      <c r="C769" s="2" t="s">
        <v>44</v>
      </c>
      <c r="D769" s="2" t="s">
        <v>433</v>
      </c>
      <c r="E769" s="2">
        <v>3</v>
      </c>
      <c r="F769" s="2">
        <v>37995</v>
      </c>
      <c r="G769" s="2" t="s">
        <v>563</v>
      </c>
      <c r="H769" s="2" t="str">
        <f t="shared" si="11"/>
        <v>("ORD-00768","2025-04-24","FAS-MEN-043","CX-067",3,37995,"Cash"),</v>
      </c>
      <c r="N769" s="2"/>
      <c r="P769" s="4"/>
    </row>
    <row r="770" spans="1:16" x14ac:dyDescent="0.3">
      <c r="A770" s="2" t="s">
        <v>1335</v>
      </c>
      <c r="B770" s="5" t="s">
        <v>1891</v>
      </c>
      <c r="C770" s="2" t="s">
        <v>70</v>
      </c>
      <c r="D770" s="2" t="s">
        <v>507</v>
      </c>
      <c r="E770" s="2">
        <v>5</v>
      </c>
      <c r="F770" s="2">
        <v>52090</v>
      </c>
      <c r="G770" s="2" t="s">
        <v>572</v>
      </c>
      <c r="H770" s="2" t="str">
        <f t="shared" si="11"/>
        <v>("ORD-00769","2025-06-09","FAS-KID-069","CX-027",5,52090,"Card"),</v>
      </c>
      <c r="N770" s="2"/>
      <c r="P770" s="4"/>
    </row>
    <row r="771" spans="1:16" x14ac:dyDescent="0.3">
      <c r="A771" s="2" t="s">
        <v>1336</v>
      </c>
      <c r="B771" s="5" t="s">
        <v>1780</v>
      </c>
      <c r="C771" s="2" t="s">
        <v>83</v>
      </c>
      <c r="D771" s="2" t="s">
        <v>525</v>
      </c>
      <c r="E771" s="2">
        <v>4</v>
      </c>
      <c r="F771" s="2">
        <v>106872</v>
      </c>
      <c r="G771" s="2" t="s">
        <v>572</v>
      </c>
      <c r="H771" s="2" t="str">
        <f t="shared" ref="H771:H834" si="12">"("""&amp;A771&amp;""","""&amp;B771&amp;""","""&amp;C771&amp;""","""&amp;D771&amp;""","&amp;E771&amp;","&amp;F771&amp;","""&amp;G771&amp;"""),"</f>
        <v>("ORD-00770","2025-05-09","HOM-KIT-082","CX-017",4,106872,"Card"),</v>
      </c>
      <c r="N771" s="2"/>
      <c r="P771" s="4"/>
    </row>
    <row r="772" spans="1:16" x14ac:dyDescent="0.3">
      <c r="A772" s="2" t="s">
        <v>1337</v>
      </c>
      <c r="B772" s="5" t="s">
        <v>1872</v>
      </c>
      <c r="C772" s="2" t="s">
        <v>14</v>
      </c>
      <c r="D772" s="2" t="s">
        <v>452</v>
      </c>
      <c r="E772" s="2">
        <v>2</v>
      </c>
      <c r="F772" s="2">
        <v>70640</v>
      </c>
      <c r="G772" s="2" t="s">
        <v>565</v>
      </c>
      <c r="H772" s="2" t="str">
        <f t="shared" si="12"/>
        <v>("ORD-00771","2025-04-15","ELE-LAP-013","CX-056",2,70640,"NetBanking"),</v>
      </c>
      <c r="N772" s="2"/>
      <c r="P772" s="4"/>
    </row>
    <row r="773" spans="1:16" x14ac:dyDescent="0.3">
      <c r="A773" s="2" t="s">
        <v>1338</v>
      </c>
      <c r="B773" s="5" t="s">
        <v>1733</v>
      </c>
      <c r="C773" s="2" t="s">
        <v>119</v>
      </c>
      <c r="D773" s="2" t="s">
        <v>503</v>
      </c>
      <c r="E773" s="2">
        <v>4</v>
      </c>
      <c r="F773" s="2">
        <v>39168</v>
      </c>
      <c r="G773" s="2" t="s">
        <v>572</v>
      </c>
      <c r="H773" s="2" t="str">
        <f t="shared" si="12"/>
        <v>("ORD-00772","2025-01-16","HOM-FUR-118","CX-029",4,39168,"Card"),</v>
      </c>
      <c r="N773" s="2"/>
      <c r="P773" s="4"/>
    </row>
    <row r="774" spans="1:16" x14ac:dyDescent="0.3">
      <c r="A774" s="2" t="s">
        <v>1339</v>
      </c>
      <c r="B774" s="5" t="s">
        <v>1778</v>
      </c>
      <c r="C774" s="2" t="s">
        <v>176</v>
      </c>
      <c r="D774" s="2" t="s">
        <v>395</v>
      </c>
      <c r="E774" s="2">
        <v>4</v>
      </c>
      <c r="F774" s="2">
        <v>105620</v>
      </c>
      <c r="G774" s="2" t="s">
        <v>572</v>
      </c>
      <c r="H774" s="2" t="str">
        <f t="shared" si="12"/>
        <v>("ORD-00773","2025-09-01","BEA-HAI-175","CX-087",4,105620,"Card"),</v>
      </c>
      <c r="N774" s="2"/>
      <c r="P774" s="4"/>
    </row>
    <row r="775" spans="1:16" x14ac:dyDescent="0.3">
      <c r="A775" s="2" t="s">
        <v>1340</v>
      </c>
      <c r="B775" s="5" t="s">
        <v>1854</v>
      </c>
      <c r="C775" s="2" t="s">
        <v>105</v>
      </c>
      <c r="D775" s="2" t="s">
        <v>486</v>
      </c>
      <c r="E775" s="2">
        <v>1</v>
      </c>
      <c r="F775" s="2">
        <v>41102</v>
      </c>
      <c r="G775" s="2" t="s">
        <v>572</v>
      </c>
      <c r="H775" s="2" t="str">
        <f t="shared" si="12"/>
        <v>("ORD-00774","2025-10-22","HOM-APP-104","CX-038",1,41102,"Card"),</v>
      </c>
      <c r="N775" s="2"/>
      <c r="P775" s="4"/>
    </row>
    <row r="776" spans="1:16" x14ac:dyDescent="0.3">
      <c r="A776" s="2" t="s">
        <v>1341</v>
      </c>
      <c r="B776" s="5" t="s">
        <v>1835</v>
      </c>
      <c r="C776" s="2" t="s">
        <v>153</v>
      </c>
      <c r="D776" s="2" t="s">
        <v>356</v>
      </c>
      <c r="E776" s="2">
        <v>4</v>
      </c>
      <c r="F776" s="2">
        <v>52692</v>
      </c>
      <c r="G776" s="2" t="s">
        <v>567</v>
      </c>
      <c r="H776" s="2" t="str">
        <f t="shared" si="12"/>
        <v>("ORD-00775","2025-07-06","SPO-ACC-152","CX-106",4,52692,"Wallet"),</v>
      </c>
      <c r="N776" s="2"/>
      <c r="P776" s="4"/>
    </row>
    <row r="777" spans="1:16" x14ac:dyDescent="0.3">
      <c r="A777" s="2" t="s">
        <v>1342</v>
      </c>
      <c r="B777" s="5" t="s">
        <v>1758</v>
      </c>
      <c r="C777" s="2" t="s">
        <v>41</v>
      </c>
      <c r="D777" s="2" t="s">
        <v>335</v>
      </c>
      <c r="E777" s="2">
        <v>3</v>
      </c>
      <c r="F777" s="2">
        <v>4068</v>
      </c>
      <c r="G777" s="2" t="s">
        <v>565</v>
      </c>
      <c r="H777" s="2" t="str">
        <f t="shared" si="12"/>
        <v>("ORD-00776","2025-03-15","ELE-CAM-040","CX-115",3,4068,"NetBanking"),</v>
      </c>
      <c r="N777" s="2"/>
      <c r="P777" s="4"/>
    </row>
    <row r="778" spans="1:16" x14ac:dyDescent="0.3">
      <c r="A778" s="2" t="s">
        <v>1343</v>
      </c>
      <c r="B778" s="5" t="s">
        <v>1892</v>
      </c>
      <c r="C778" s="2" t="s">
        <v>176</v>
      </c>
      <c r="D778" s="2" t="s">
        <v>337</v>
      </c>
      <c r="E778" s="2">
        <v>3</v>
      </c>
      <c r="F778" s="2">
        <v>79215</v>
      </c>
      <c r="G778" s="2" t="s">
        <v>570</v>
      </c>
      <c r="H778" s="2" t="str">
        <f t="shared" si="12"/>
        <v>("ORD-00777","2025-08-15","BEA-HAI-175","CX-114",3,79215,"UPI"),</v>
      </c>
      <c r="N778" s="2"/>
      <c r="P778" s="4"/>
    </row>
    <row r="779" spans="1:16" x14ac:dyDescent="0.3">
      <c r="A779" s="2" t="s">
        <v>1344</v>
      </c>
      <c r="B779" s="5" t="s">
        <v>1750</v>
      </c>
      <c r="C779" s="2" t="s">
        <v>155</v>
      </c>
      <c r="D779" s="2" t="s">
        <v>522</v>
      </c>
      <c r="E779" s="2">
        <v>4</v>
      </c>
      <c r="F779" s="2">
        <v>149164</v>
      </c>
      <c r="G779" s="2" t="s">
        <v>565</v>
      </c>
      <c r="H779" s="2" t="str">
        <f t="shared" si="12"/>
        <v>("ORD-00778","2025-09-07","SPO-ACC-154","CX-019",4,149164,"NetBanking"),</v>
      </c>
      <c r="N779" s="2"/>
      <c r="P779" s="4"/>
    </row>
    <row r="780" spans="1:16" x14ac:dyDescent="0.3">
      <c r="A780" s="2" t="s">
        <v>1345</v>
      </c>
      <c r="B780" s="5" t="s">
        <v>1608</v>
      </c>
      <c r="C780" s="2" t="s">
        <v>105</v>
      </c>
      <c r="D780" s="2" t="s">
        <v>503</v>
      </c>
      <c r="E780" s="2">
        <v>5</v>
      </c>
      <c r="F780" s="2">
        <v>205510</v>
      </c>
      <c r="G780" s="2" t="s">
        <v>570</v>
      </c>
      <c r="H780" s="2" t="str">
        <f t="shared" si="12"/>
        <v>("ORD-00779","2025-10-28","HOM-APP-104","CX-029",5,205510,"UPI"),</v>
      </c>
      <c r="N780" s="2"/>
      <c r="P780" s="4"/>
    </row>
    <row r="781" spans="1:16" x14ac:dyDescent="0.3">
      <c r="A781" s="2" t="s">
        <v>1346</v>
      </c>
      <c r="B781" s="5" t="s">
        <v>1880</v>
      </c>
      <c r="C781" s="2" t="s">
        <v>114</v>
      </c>
      <c r="D781" s="2" t="s">
        <v>331</v>
      </c>
      <c r="E781" s="2">
        <v>3</v>
      </c>
      <c r="F781" s="2">
        <v>109089</v>
      </c>
      <c r="G781" s="2" t="s">
        <v>567</v>
      </c>
      <c r="H781" s="2" t="str">
        <f t="shared" si="12"/>
        <v>("ORD-00780","2025-05-29","HOM-FUR-113","CX-116",3,109089,"Wallet"),</v>
      </c>
      <c r="N781" s="2"/>
      <c r="P781" s="4"/>
    </row>
    <row r="782" spans="1:16" x14ac:dyDescent="0.3">
      <c r="A782" s="2" t="s">
        <v>1347</v>
      </c>
      <c r="B782" s="5" t="s">
        <v>1869</v>
      </c>
      <c r="C782" s="2" t="s">
        <v>72</v>
      </c>
      <c r="D782" s="2" t="s">
        <v>473</v>
      </c>
      <c r="E782" s="2">
        <v>2</v>
      </c>
      <c r="F782" s="2">
        <v>95872</v>
      </c>
      <c r="G782" s="2" t="s">
        <v>563</v>
      </c>
      <c r="H782" s="2" t="str">
        <f t="shared" si="12"/>
        <v>("ORD-00781","2025-06-06","FAS-FOO-071","CX-045",2,95872,"Cash"),</v>
      </c>
      <c r="N782" s="2"/>
      <c r="P782" s="4"/>
    </row>
    <row r="783" spans="1:16" x14ac:dyDescent="0.3">
      <c r="A783" s="2" t="s">
        <v>1348</v>
      </c>
      <c r="B783" s="5" t="s">
        <v>1854</v>
      </c>
      <c r="C783" s="2" t="s">
        <v>190</v>
      </c>
      <c r="D783" s="2" t="s">
        <v>501</v>
      </c>
      <c r="E783" s="2">
        <v>1</v>
      </c>
      <c r="F783" s="2">
        <v>7893</v>
      </c>
      <c r="G783" s="2" t="s">
        <v>565</v>
      </c>
      <c r="H783" s="2" t="str">
        <f t="shared" si="12"/>
        <v>("ORD-00782","2025-10-22","BEA-MAK-189","CX-030",1,7893,"NetBanking"),</v>
      </c>
      <c r="N783" s="2"/>
      <c r="P783" s="4"/>
    </row>
    <row r="784" spans="1:16" x14ac:dyDescent="0.3">
      <c r="A784" s="2" t="s">
        <v>1349</v>
      </c>
      <c r="B784" s="5" t="s">
        <v>1887</v>
      </c>
      <c r="C784" s="2" t="s">
        <v>85</v>
      </c>
      <c r="D784" s="2" t="s">
        <v>520</v>
      </c>
      <c r="E784" s="2">
        <v>4</v>
      </c>
      <c r="F784" s="2">
        <v>160336</v>
      </c>
      <c r="G784" s="2" t="s">
        <v>572</v>
      </c>
      <c r="H784" s="2" t="str">
        <f t="shared" si="12"/>
        <v>("ORD-00783","2025-05-20","HOM-KIT-084","CX-020",4,160336,"Card"),</v>
      </c>
      <c r="N784" s="2"/>
      <c r="P784" s="4"/>
    </row>
    <row r="785" spans="1:16" x14ac:dyDescent="0.3">
      <c r="A785" s="2" t="s">
        <v>1350</v>
      </c>
      <c r="B785" s="5" t="s">
        <v>1755</v>
      </c>
      <c r="C785" s="2" t="s">
        <v>24</v>
      </c>
      <c r="D785" s="2" t="s">
        <v>324</v>
      </c>
      <c r="E785" s="2">
        <v>5</v>
      </c>
      <c r="F785" s="2">
        <v>203045</v>
      </c>
      <c r="G785" s="2" t="s">
        <v>563</v>
      </c>
      <c r="H785" s="2" t="str">
        <f t="shared" si="12"/>
        <v>("ORD-00784","2025-09-04","ELE-ACC-023","CX-118",5,203045,"Cash"),</v>
      </c>
      <c r="N785" s="2"/>
      <c r="P785" s="4"/>
    </row>
    <row r="786" spans="1:16" x14ac:dyDescent="0.3">
      <c r="A786" s="2" t="s">
        <v>1351</v>
      </c>
      <c r="B786" s="5" t="s">
        <v>1893</v>
      </c>
      <c r="C786" s="2" t="s">
        <v>95</v>
      </c>
      <c r="D786" s="2" t="s">
        <v>544</v>
      </c>
      <c r="E786" s="2">
        <v>3</v>
      </c>
      <c r="F786" s="2">
        <v>174252</v>
      </c>
      <c r="G786" s="2" t="s">
        <v>565</v>
      </c>
      <c r="H786" s="2" t="str">
        <f t="shared" si="12"/>
        <v>("ORD-00785","2025-09-12","HOM-DEC-094","CX-007",3,174252,"NetBanking"),</v>
      </c>
      <c r="N786" s="2"/>
      <c r="P786" s="4"/>
    </row>
    <row r="787" spans="1:16" x14ac:dyDescent="0.3">
      <c r="A787" s="2" t="s">
        <v>1352</v>
      </c>
      <c r="B787" s="5" t="s">
        <v>1767</v>
      </c>
      <c r="C787" s="2" t="s">
        <v>188</v>
      </c>
      <c r="D787" s="2" t="s">
        <v>358</v>
      </c>
      <c r="E787" s="2">
        <v>2</v>
      </c>
      <c r="F787" s="2">
        <v>69038</v>
      </c>
      <c r="G787" s="2" t="s">
        <v>565</v>
      </c>
      <c r="H787" s="2" t="str">
        <f t="shared" si="12"/>
        <v>("ORD-00786","2024-11-29","BEA-MAK-187","CX-105",2,69038,"NetBanking"),</v>
      </c>
      <c r="N787" s="2"/>
      <c r="P787" s="4"/>
    </row>
    <row r="788" spans="1:16" x14ac:dyDescent="0.3">
      <c r="A788" s="2" t="s">
        <v>1353</v>
      </c>
      <c r="B788" s="5" t="s">
        <v>1793</v>
      </c>
      <c r="C788" s="2" t="s">
        <v>195</v>
      </c>
      <c r="D788" s="2" t="s">
        <v>475</v>
      </c>
      <c r="E788" s="2">
        <v>2</v>
      </c>
      <c r="F788" s="2">
        <v>69976</v>
      </c>
      <c r="G788" s="2" t="s">
        <v>567</v>
      </c>
      <c r="H788" s="2" t="str">
        <f t="shared" si="12"/>
        <v>("ORD-00787","2025-09-06","BEA-FRA-194","CX-044",2,69976,"Wallet"),</v>
      </c>
      <c r="N788" s="2"/>
      <c r="P788" s="4"/>
    </row>
    <row r="789" spans="1:16" x14ac:dyDescent="0.3">
      <c r="A789" s="2" t="s">
        <v>1354</v>
      </c>
      <c r="B789" s="5" t="s">
        <v>1887</v>
      </c>
      <c r="C789" s="2" t="s">
        <v>175</v>
      </c>
      <c r="D789" s="2" t="s">
        <v>416</v>
      </c>
      <c r="E789" s="2">
        <v>1</v>
      </c>
      <c r="F789" s="2">
        <v>45995</v>
      </c>
      <c r="G789" s="2" t="s">
        <v>570</v>
      </c>
      <c r="H789" s="2" t="str">
        <f t="shared" si="12"/>
        <v>("ORD-00788","2025-05-20","BEA-HAI-174","CX-076",1,45995,"UPI"),</v>
      </c>
      <c r="N789" s="2"/>
      <c r="P789" s="4"/>
    </row>
    <row r="790" spans="1:16" x14ac:dyDescent="0.3">
      <c r="A790" s="2" t="s">
        <v>1355</v>
      </c>
      <c r="B790" s="5" t="s">
        <v>1745</v>
      </c>
      <c r="C790" s="2" t="s">
        <v>105</v>
      </c>
      <c r="D790" s="2" t="s">
        <v>422</v>
      </c>
      <c r="E790" s="2">
        <v>1</v>
      </c>
      <c r="F790" s="2">
        <v>41102</v>
      </c>
      <c r="G790" s="2" t="s">
        <v>570</v>
      </c>
      <c r="H790" s="2" t="str">
        <f t="shared" si="12"/>
        <v>("ORD-00789","2025-07-31","HOM-APP-104","CX-073",1,41102,"UPI"),</v>
      </c>
      <c r="N790" s="2"/>
      <c r="P790" s="4"/>
    </row>
    <row r="791" spans="1:16" x14ac:dyDescent="0.3">
      <c r="A791" s="2" t="s">
        <v>1356</v>
      </c>
      <c r="B791" s="5" t="s">
        <v>1836</v>
      </c>
      <c r="C791" s="2" t="s">
        <v>135</v>
      </c>
      <c r="D791" s="2" t="s">
        <v>481</v>
      </c>
      <c r="E791" s="2">
        <v>1</v>
      </c>
      <c r="F791" s="2">
        <v>59464</v>
      </c>
      <c r="G791" s="2" t="s">
        <v>572</v>
      </c>
      <c r="H791" s="2" t="str">
        <f t="shared" si="12"/>
        <v>("ORD-00790","2025-06-24","SPO-OUT-134","CX-041",1,59464,"Card"),</v>
      </c>
      <c r="N791" s="2"/>
      <c r="P791" s="4"/>
    </row>
    <row r="792" spans="1:16" x14ac:dyDescent="0.3">
      <c r="A792" s="2" t="s">
        <v>1357</v>
      </c>
      <c r="B792" s="5" t="s">
        <v>1859</v>
      </c>
      <c r="C792" s="2" t="s">
        <v>115</v>
      </c>
      <c r="D792" s="2" t="s">
        <v>342</v>
      </c>
      <c r="E792" s="2">
        <v>5</v>
      </c>
      <c r="F792" s="2">
        <v>166760</v>
      </c>
      <c r="G792" s="2" t="s">
        <v>572</v>
      </c>
      <c r="H792" s="2" t="str">
        <f t="shared" si="12"/>
        <v>("ORD-00791","2025-07-07","HOM-FUR-114","CX-112",5,166760,"Card"),</v>
      </c>
      <c r="N792" s="2"/>
      <c r="P792" s="4"/>
    </row>
    <row r="793" spans="1:16" x14ac:dyDescent="0.3">
      <c r="A793" s="2" t="s">
        <v>1358</v>
      </c>
      <c r="B793" s="5" t="s">
        <v>1615</v>
      </c>
      <c r="C793" s="2" t="s">
        <v>27</v>
      </c>
      <c r="D793" s="2" t="s">
        <v>518</v>
      </c>
      <c r="E793" s="2">
        <v>4</v>
      </c>
      <c r="F793" s="2">
        <v>208904</v>
      </c>
      <c r="G793" s="2" t="s">
        <v>572</v>
      </c>
      <c r="H793" s="2" t="str">
        <f t="shared" si="12"/>
        <v>("ORD-00792","2025-03-07","ELE-ACC-026","CX-021",4,208904,"Card"),</v>
      </c>
      <c r="N793" s="2"/>
      <c r="P793" s="4"/>
    </row>
    <row r="794" spans="1:16" x14ac:dyDescent="0.3">
      <c r="A794" s="2" t="s">
        <v>1359</v>
      </c>
      <c r="B794" s="5" t="s">
        <v>1814</v>
      </c>
      <c r="C794" s="2" t="s">
        <v>141</v>
      </c>
      <c r="D794" s="2" t="s">
        <v>523</v>
      </c>
      <c r="E794" s="2">
        <v>2</v>
      </c>
      <c r="F794" s="2">
        <v>56184</v>
      </c>
      <c r="G794" s="2" t="s">
        <v>567</v>
      </c>
      <c r="H794" s="2" t="str">
        <f t="shared" si="12"/>
        <v>("ORD-00793","2025-08-05","SPO-OUT-140","CX-018",2,56184,"Wallet"),</v>
      </c>
      <c r="N794" s="2"/>
      <c r="P794" s="4"/>
    </row>
    <row r="795" spans="1:16" x14ac:dyDescent="0.3">
      <c r="A795" s="2" t="s">
        <v>1360</v>
      </c>
      <c r="B795" s="5" t="s">
        <v>1706</v>
      </c>
      <c r="C795" s="2" t="s">
        <v>3</v>
      </c>
      <c r="D795" s="2" t="s">
        <v>436</v>
      </c>
      <c r="E795" s="2">
        <v>1</v>
      </c>
      <c r="F795" s="2">
        <v>14588</v>
      </c>
      <c r="G795" s="2" t="s">
        <v>563</v>
      </c>
      <c r="H795" s="2" t="str">
        <f t="shared" si="12"/>
        <v>("ORD-00794","2025-03-14","ELE-MOB-002","CX-065",1,14588,"Cash"),</v>
      </c>
      <c r="N795" s="2"/>
      <c r="P795" s="4"/>
    </row>
    <row r="796" spans="1:16" x14ac:dyDescent="0.3">
      <c r="A796" s="2" t="s">
        <v>1361</v>
      </c>
      <c r="B796" s="5" t="s">
        <v>1764</v>
      </c>
      <c r="C796" s="2" t="s">
        <v>77</v>
      </c>
      <c r="D796" s="2" t="s">
        <v>436</v>
      </c>
      <c r="E796" s="2">
        <v>4</v>
      </c>
      <c r="F796" s="2">
        <v>121820</v>
      </c>
      <c r="G796" s="2" t="s">
        <v>565</v>
      </c>
      <c r="H796" s="2" t="str">
        <f t="shared" si="12"/>
        <v>("ORD-00795","2025-07-09","FAS-FOO-076","CX-065",4,121820,"NetBanking"),</v>
      </c>
      <c r="N796" s="2"/>
      <c r="P796" s="4"/>
    </row>
    <row r="797" spans="1:16" x14ac:dyDescent="0.3">
      <c r="A797" s="2" t="s">
        <v>1362</v>
      </c>
      <c r="B797" s="5" t="s">
        <v>1708</v>
      </c>
      <c r="C797" s="2" t="s">
        <v>169</v>
      </c>
      <c r="D797" s="2" t="s">
        <v>420</v>
      </c>
      <c r="E797" s="2">
        <v>1</v>
      </c>
      <c r="F797" s="2">
        <v>13580</v>
      </c>
      <c r="G797" s="2" t="s">
        <v>572</v>
      </c>
      <c r="H797" s="2" t="str">
        <f t="shared" si="12"/>
        <v>("ORD-00796","2025-09-28","BEA-SKI-168","CX-074",1,13580,"Card"),</v>
      </c>
      <c r="N797" s="2"/>
      <c r="P797" s="4"/>
    </row>
    <row r="798" spans="1:16" x14ac:dyDescent="0.3">
      <c r="A798" s="2" t="s">
        <v>1363</v>
      </c>
      <c r="B798" s="5" t="s">
        <v>1583</v>
      </c>
      <c r="C798" s="2" t="s">
        <v>41</v>
      </c>
      <c r="D798" s="2" t="s">
        <v>401</v>
      </c>
      <c r="E798" s="2">
        <v>3</v>
      </c>
      <c r="F798" s="2">
        <v>4068</v>
      </c>
      <c r="G798" s="2" t="s">
        <v>572</v>
      </c>
      <c r="H798" s="2" t="str">
        <f t="shared" si="12"/>
        <v>("ORD-00797","2025-08-28","ELE-CAM-040","CX-084",3,4068,"Card"),</v>
      </c>
      <c r="N798" s="2"/>
      <c r="P798" s="4"/>
    </row>
    <row r="799" spans="1:16" x14ac:dyDescent="0.3">
      <c r="A799" s="2" t="s">
        <v>1364</v>
      </c>
      <c r="B799" s="5" t="s">
        <v>1894</v>
      </c>
      <c r="C799" s="2" t="s">
        <v>63</v>
      </c>
      <c r="D799" s="2" t="s">
        <v>431</v>
      </c>
      <c r="E799" s="2">
        <v>2</v>
      </c>
      <c r="F799" s="2">
        <v>89284</v>
      </c>
      <c r="G799" s="2" t="s">
        <v>565</v>
      </c>
      <c r="H799" s="2" t="str">
        <f t="shared" si="12"/>
        <v>("ORD-00798","2024-12-30","FAS-KID-062","CX-068",2,89284,"NetBanking"),</v>
      </c>
      <c r="N799" s="2"/>
      <c r="P799" s="4"/>
    </row>
    <row r="800" spans="1:16" x14ac:dyDescent="0.3">
      <c r="A800" s="2" t="s">
        <v>1365</v>
      </c>
      <c r="B800" s="5" t="s">
        <v>1600</v>
      </c>
      <c r="C800" s="2" t="s">
        <v>196</v>
      </c>
      <c r="D800" s="2" t="s">
        <v>515</v>
      </c>
      <c r="E800" s="2">
        <v>2</v>
      </c>
      <c r="F800" s="2">
        <v>117420</v>
      </c>
      <c r="G800" s="2" t="s">
        <v>563</v>
      </c>
      <c r="H800" s="2" t="str">
        <f t="shared" si="12"/>
        <v>("ORD-00799","2025-03-10","BEA-FRA-195","CX-023",2,117420,"Cash"),</v>
      </c>
      <c r="N800" s="2"/>
      <c r="P800" s="4"/>
    </row>
    <row r="801" spans="1:16" x14ac:dyDescent="0.3">
      <c r="A801" s="2" t="s">
        <v>1366</v>
      </c>
      <c r="B801" s="5" t="s">
        <v>1891</v>
      </c>
      <c r="C801" s="2" t="s">
        <v>26</v>
      </c>
      <c r="D801" s="2" t="s">
        <v>523</v>
      </c>
      <c r="E801" s="2">
        <v>4</v>
      </c>
      <c r="F801" s="2">
        <v>116712</v>
      </c>
      <c r="G801" s="2" t="s">
        <v>570</v>
      </c>
      <c r="H801" s="2" t="str">
        <f t="shared" si="12"/>
        <v>("ORD-00800","2025-06-09","ELE-ACC-025","CX-018",4,116712,"UPI"),</v>
      </c>
      <c r="N801" s="2"/>
      <c r="P801" s="4"/>
    </row>
    <row r="802" spans="1:16" x14ac:dyDescent="0.3">
      <c r="A802" s="2" t="s">
        <v>1367</v>
      </c>
      <c r="B802" s="5" t="s">
        <v>1889</v>
      </c>
      <c r="C802" s="2" t="s">
        <v>118</v>
      </c>
      <c r="D802" s="2" t="s">
        <v>523</v>
      </c>
      <c r="E802" s="2">
        <v>3</v>
      </c>
      <c r="F802" s="2">
        <v>8697</v>
      </c>
      <c r="G802" s="2" t="s">
        <v>563</v>
      </c>
      <c r="H802" s="2" t="str">
        <f t="shared" si="12"/>
        <v>("ORD-00801","2025-02-13","HOM-FUR-117","CX-018",3,8697,"Cash"),</v>
      </c>
      <c r="N802" s="2"/>
      <c r="P802" s="4"/>
    </row>
    <row r="803" spans="1:16" x14ac:dyDescent="0.3">
      <c r="A803" s="2" t="s">
        <v>1368</v>
      </c>
      <c r="B803" s="5" t="s">
        <v>1881</v>
      </c>
      <c r="C803" s="2" t="s">
        <v>201</v>
      </c>
      <c r="D803" s="2" t="s">
        <v>503</v>
      </c>
      <c r="E803" s="2">
        <v>1</v>
      </c>
      <c r="F803" s="2">
        <v>8762</v>
      </c>
      <c r="G803" s="2" t="s">
        <v>565</v>
      </c>
      <c r="H803" s="2" t="str">
        <f t="shared" si="12"/>
        <v>("ORD-00802","2025-08-07","BEA-FRA-200","CX-029",1,8762,"NetBanking"),</v>
      </c>
      <c r="N803" s="2"/>
      <c r="P803" s="4"/>
    </row>
    <row r="804" spans="1:16" x14ac:dyDescent="0.3">
      <c r="A804" s="2" t="s">
        <v>1369</v>
      </c>
      <c r="B804" s="5" t="s">
        <v>1839</v>
      </c>
      <c r="C804" s="2" t="s">
        <v>41</v>
      </c>
      <c r="D804" s="2" t="s">
        <v>546</v>
      </c>
      <c r="E804" s="2">
        <v>1</v>
      </c>
      <c r="F804" s="2">
        <v>1356</v>
      </c>
      <c r="G804" s="2" t="s">
        <v>572</v>
      </c>
      <c r="H804" s="2" t="str">
        <f t="shared" si="12"/>
        <v>("ORD-00803","2025-05-03","ELE-CAM-040","CX-006",1,1356,"Card"),</v>
      </c>
      <c r="N804" s="2"/>
      <c r="P804" s="4"/>
    </row>
    <row r="805" spans="1:16" x14ac:dyDescent="0.3">
      <c r="A805" s="2" t="s">
        <v>1370</v>
      </c>
      <c r="B805" s="5" t="s">
        <v>1739</v>
      </c>
      <c r="C805" s="2" t="s">
        <v>10</v>
      </c>
      <c r="D805" s="2" t="s">
        <v>420</v>
      </c>
      <c r="E805" s="2">
        <v>5</v>
      </c>
      <c r="F805" s="2">
        <v>264515</v>
      </c>
      <c r="G805" s="2" t="s">
        <v>572</v>
      </c>
      <c r="H805" s="2" t="str">
        <f t="shared" si="12"/>
        <v>("ORD-00804","2025-11-10","ELE-MOB-009","CX-074",5,264515,"Card"),</v>
      </c>
      <c r="N805" s="2"/>
      <c r="P805" s="4"/>
    </row>
    <row r="806" spans="1:16" x14ac:dyDescent="0.3">
      <c r="A806" s="2" t="s">
        <v>1371</v>
      </c>
      <c r="B806" s="5" t="s">
        <v>1604</v>
      </c>
      <c r="C806" s="2" t="s">
        <v>90</v>
      </c>
      <c r="D806" s="2" t="s">
        <v>546</v>
      </c>
      <c r="E806" s="2">
        <v>4</v>
      </c>
      <c r="F806" s="2">
        <v>220284</v>
      </c>
      <c r="G806" s="2" t="s">
        <v>572</v>
      </c>
      <c r="H806" s="2" t="str">
        <f t="shared" si="12"/>
        <v>("ORD-00805","2025-07-05","HOM-KIT-089","CX-006",4,220284,"Card"),</v>
      </c>
      <c r="N806" s="2"/>
      <c r="P806" s="4"/>
    </row>
    <row r="807" spans="1:16" x14ac:dyDescent="0.3">
      <c r="A807" s="2" t="s">
        <v>1372</v>
      </c>
      <c r="B807" s="5" t="s">
        <v>1819</v>
      </c>
      <c r="C807" s="2" t="s">
        <v>115</v>
      </c>
      <c r="D807" s="2" t="s">
        <v>433</v>
      </c>
      <c r="E807" s="2">
        <v>5</v>
      </c>
      <c r="F807" s="2">
        <v>166760</v>
      </c>
      <c r="G807" s="2" t="s">
        <v>563</v>
      </c>
      <c r="H807" s="2" t="str">
        <f t="shared" si="12"/>
        <v>("ORD-00806","2025-01-06","HOM-FUR-114","CX-067",5,166760,"Cash"),</v>
      </c>
      <c r="N807" s="2"/>
      <c r="P807" s="4"/>
    </row>
    <row r="808" spans="1:16" x14ac:dyDescent="0.3">
      <c r="A808" s="2" t="s">
        <v>1373</v>
      </c>
      <c r="B808" s="5" t="s">
        <v>1895</v>
      </c>
      <c r="C808" s="2" t="s">
        <v>16</v>
      </c>
      <c r="D808" s="2" t="s">
        <v>408</v>
      </c>
      <c r="E808" s="2">
        <v>5</v>
      </c>
      <c r="F808" s="2">
        <v>122865</v>
      </c>
      <c r="G808" s="2" t="s">
        <v>565</v>
      </c>
      <c r="H808" s="2" t="str">
        <f t="shared" si="12"/>
        <v>("ORD-00807","2025-06-04","ELE-LAP-015","CX-080",5,122865,"NetBanking"),</v>
      </c>
      <c r="N808" s="2"/>
      <c r="P808" s="4"/>
    </row>
    <row r="809" spans="1:16" x14ac:dyDescent="0.3">
      <c r="A809" s="2" t="s">
        <v>1374</v>
      </c>
      <c r="B809" s="5" t="s">
        <v>1778</v>
      </c>
      <c r="C809" s="2" t="s">
        <v>14</v>
      </c>
      <c r="D809" s="2" t="s">
        <v>454</v>
      </c>
      <c r="E809" s="2">
        <v>4</v>
      </c>
      <c r="F809" s="2">
        <v>141280</v>
      </c>
      <c r="G809" s="2" t="s">
        <v>563</v>
      </c>
      <c r="H809" s="2" t="str">
        <f t="shared" si="12"/>
        <v>("ORD-00808","2025-09-01","ELE-LAP-013","CX-055",4,141280,"Cash"),</v>
      </c>
      <c r="N809" s="2"/>
      <c r="P809" s="4"/>
    </row>
    <row r="810" spans="1:16" x14ac:dyDescent="0.3">
      <c r="A810" s="2" t="s">
        <v>1375</v>
      </c>
      <c r="B810" s="5" t="s">
        <v>1719</v>
      </c>
      <c r="C810" s="2" t="s">
        <v>81</v>
      </c>
      <c r="D810" s="2" t="s">
        <v>439</v>
      </c>
      <c r="E810" s="2">
        <v>1</v>
      </c>
      <c r="F810" s="2">
        <v>3069</v>
      </c>
      <c r="G810" s="2" t="s">
        <v>570</v>
      </c>
      <c r="H810" s="2" t="str">
        <f t="shared" si="12"/>
        <v>("ORD-00809","2025-03-20","FAS-FOO-080","CX-063",1,3069,"UPI"),</v>
      </c>
      <c r="N810" s="2"/>
      <c r="P810" s="4"/>
    </row>
    <row r="811" spans="1:16" x14ac:dyDescent="0.3">
      <c r="A811" s="2" t="s">
        <v>1376</v>
      </c>
      <c r="B811" s="5" t="s">
        <v>1611</v>
      </c>
      <c r="C811" s="2" t="s">
        <v>85</v>
      </c>
      <c r="D811" s="2" t="s">
        <v>362</v>
      </c>
      <c r="E811" s="2">
        <v>1</v>
      </c>
      <c r="F811" s="2">
        <v>40084</v>
      </c>
      <c r="G811" s="2" t="s">
        <v>565</v>
      </c>
      <c r="H811" s="2" t="str">
        <f t="shared" si="12"/>
        <v>("ORD-00810","2025-02-18","HOM-KIT-084","CX-103",1,40084,"NetBanking"),</v>
      </c>
      <c r="N811" s="2"/>
      <c r="P811" s="4"/>
    </row>
    <row r="812" spans="1:16" x14ac:dyDescent="0.3">
      <c r="A812" s="2" t="s">
        <v>1377</v>
      </c>
      <c r="B812" s="5" t="s">
        <v>1583</v>
      </c>
      <c r="C812" s="2" t="s">
        <v>150</v>
      </c>
      <c r="D812" s="2" t="s">
        <v>376</v>
      </c>
      <c r="E812" s="2">
        <v>5</v>
      </c>
      <c r="F812" s="2">
        <v>294465</v>
      </c>
      <c r="G812" s="2" t="s">
        <v>565</v>
      </c>
      <c r="H812" s="2" t="str">
        <f t="shared" si="12"/>
        <v>("ORD-00811","2025-08-28","SPO-IND-149","CX-096",5,294465,"NetBanking"),</v>
      </c>
      <c r="N812" s="2"/>
      <c r="P812" s="4"/>
    </row>
    <row r="813" spans="1:16" x14ac:dyDescent="0.3">
      <c r="A813" s="2" t="s">
        <v>1378</v>
      </c>
      <c r="B813" s="5" t="s">
        <v>1662</v>
      </c>
      <c r="C813" s="2" t="s">
        <v>108</v>
      </c>
      <c r="D813" s="2" t="s">
        <v>467</v>
      </c>
      <c r="E813" s="2">
        <v>5</v>
      </c>
      <c r="F813" s="2">
        <v>216370</v>
      </c>
      <c r="G813" s="2" t="s">
        <v>570</v>
      </c>
      <c r="H813" s="2" t="str">
        <f t="shared" si="12"/>
        <v>("ORD-00812","2025-01-21","HOM-APP-107","CX-048",5,216370,"UPI"),</v>
      </c>
      <c r="N813" s="2"/>
      <c r="P813" s="4"/>
    </row>
    <row r="814" spans="1:16" x14ac:dyDescent="0.3">
      <c r="A814" s="2" t="s">
        <v>1379</v>
      </c>
      <c r="B814" s="5" t="s">
        <v>1705</v>
      </c>
      <c r="C814" s="2" t="s">
        <v>4</v>
      </c>
      <c r="D814" s="2" t="s">
        <v>389</v>
      </c>
      <c r="E814" s="2">
        <v>4</v>
      </c>
      <c r="F814" s="2">
        <v>79440</v>
      </c>
      <c r="G814" s="2" t="s">
        <v>563</v>
      </c>
      <c r="H814" s="2" t="str">
        <f t="shared" si="12"/>
        <v>("ORD-00813","2025-10-03","ELE-MOB-003","CX-090",4,79440,"Cash"),</v>
      </c>
      <c r="N814" s="2"/>
      <c r="P814" s="4"/>
    </row>
    <row r="815" spans="1:16" x14ac:dyDescent="0.3">
      <c r="A815" s="2" t="s">
        <v>1380</v>
      </c>
      <c r="B815" s="5" t="s">
        <v>1849</v>
      </c>
      <c r="C815" s="2" t="s">
        <v>196</v>
      </c>
      <c r="D815" s="2" t="s">
        <v>426</v>
      </c>
      <c r="E815" s="2">
        <v>1</v>
      </c>
      <c r="F815" s="2">
        <v>58710</v>
      </c>
      <c r="G815" s="2" t="s">
        <v>565</v>
      </c>
      <c r="H815" s="2" t="str">
        <f t="shared" si="12"/>
        <v>("ORD-00814","2024-11-30","BEA-FRA-195","CX-071",1,58710,"NetBanking"),</v>
      </c>
      <c r="N815" s="2"/>
      <c r="P815" s="4"/>
    </row>
    <row r="816" spans="1:16" x14ac:dyDescent="0.3">
      <c r="A816" s="2" t="s">
        <v>1381</v>
      </c>
      <c r="B816" s="5" t="s">
        <v>1735</v>
      </c>
      <c r="C816" s="2" t="s">
        <v>81</v>
      </c>
      <c r="D816" s="2" t="s">
        <v>497</v>
      </c>
      <c r="E816" s="2">
        <v>4</v>
      </c>
      <c r="F816" s="2">
        <v>12276</v>
      </c>
      <c r="G816" s="2" t="s">
        <v>563</v>
      </c>
      <c r="H816" s="2" t="str">
        <f t="shared" si="12"/>
        <v>("ORD-00815","2025-03-31","FAS-FOO-080","CX-032",4,12276,"Cash"),</v>
      </c>
      <c r="N816" s="2"/>
      <c r="P816" s="4"/>
    </row>
    <row r="817" spans="1:16" x14ac:dyDescent="0.3">
      <c r="A817" s="2" t="s">
        <v>1382</v>
      </c>
      <c r="B817" s="5" t="s">
        <v>1759</v>
      </c>
      <c r="C817" s="2" t="s">
        <v>136</v>
      </c>
      <c r="D817" s="2" t="s">
        <v>358</v>
      </c>
      <c r="E817" s="2">
        <v>5</v>
      </c>
      <c r="F817" s="2">
        <v>21810</v>
      </c>
      <c r="G817" s="2" t="s">
        <v>563</v>
      </c>
      <c r="H817" s="2" t="str">
        <f t="shared" si="12"/>
        <v>("ORD-00816","2025-08-09","SPO-OUT-135","CX-105",5,21810,"Cash"),</v>
      </c>
      <c r="N817" s="2"/>
      <c r="P817" s="4"/>
    </row>
    <row r="818" spans="1:16" x14ac:dyDescent="0.3">
      <c r="A818" s="2" t="s">
        <v>1383</v>
      </c>
      <c r="B818" s="5" t="s">
        <v>1579</v>
      </c>
      <c r="C818" s="2" t="s">
        <v>78</v>
      </c>
      <c r="D818" s="2" t="s">
        <v>426</v>
      </c>
      <c r="E818" s="2">
        <v>5</v>
      </c>
      <c r="F818" s="2">
        <v>262225</v>
      </c>
      <c r="G818" s="2" t="s">
        <v>567</v>
      </c>
      <c r="H818" s="2" t="str">
        <f t="shared" si="12"/>
        <v>("ORD-00817","2025-03-02","FAS-FOO-077","CX-071",5,262225,"Wallet"),</v>
      </c>
      <c r="N818" s="2"/>
      <c r="P818" s="4"/>
    </row>
    <row r="819" spans="1:16" x14ac:dyDescent="0.3">
      <c r="A819" s="2" t="s">
        <v>1384</v>
      </c>
      <c r="B819" s="5" t="s">
        <v>1771</v>
      </c>
      <c r="C819" s="2" t="s">
        <v>147</v>
      </c>
      <c r="D819" s="2" t="s">
        <v>337</v>
      </c>
      <c r="E819" s="2">
        <v>3</v>
      </c>
      <c r="F819" s="2">
        <v>112803</v>
      </c>
      <c r="G819" s="2" t="s">
        <v>563</v>
      </c>
      <c r="H819" s="2" t="str">
        <f t="shared" si="12"/>
        <v>("ORD-00818","2025-11-07","SPO-IND-146","CX-114",3,112803,"Cash"),</v>
      </c>
      <c r="N819" s="2"/>
      <c r="P819" s="4"/>
    </row>
    <row r="820" spans="1:16" x14ac:dyDescent="0.3">
      <c r="A820" s="2" t="s">
        <v>1385</v>
      </c>
      <c r="B820" s="5" t="s">
        <v>1610</v>
      </c>
      <c r="C820" s="2" t="s">
        <v>128</v>
      </c>
      <c r="D820" s="2" t="s">
        <v>487</v>
      </c>
      <c r="E820" s="2">
        <v>4</v>
      </c>
      <c r="F820" s="2">
        <v>828</v>
      </c>
      <c r="G820" s="2" t="s">
        <v>563</v>
      </c>
      <c r="H820" s="2" t="str">
        <f t="shared" si="12"/>
        <v>("ORD-00819","2025-01-04","SPO-FIT-127","CX-037",4,828,"Cash"),</v>
      </c>
      <c r="N820" s="2"/>
      <c r="P820" s="4"/>
    </row>
    <row r="821" spans="1:16" x14ac:dyDescent="0.3">
      <c r="A821" s="2" t="s">
        <v>1386</v>
      </c>
      <c r="B821" s="5" t="s">
        <v>1692</v>
      </c>
      <c r="C821" s="2" t="s">
        <v>188</v>
      </c>
      <c r="D821" s="2" t="s">
        <v>493</v>
      </c>
      <c r="E821" s="2">
        <v>3</v>
      </c>
      <c r="F821" s="2">
        <v>103557</v>
      </c>
      <c r="G821" s="2" t="s">
        <v>565</v>
      </c>
      <c r="H821" s="2" t="str">
        <f t="shared" si="12"/>
        <v>("ORD-00820","2025-02-15","BEA-MAK-187","CX-034",3,103557,"NetBanking"),</v>
      </c>
      <c r="N821" s="2"/>
      <c r="P821" s="4"/>
    </row>
    <row r="822" spans="1:16" x14ac:dyDescent="0.3">
      <c r="A822" s="2" t="s">
        <v>1387</v>
      </c>
      <c r="B822" s="5" t="s">
        <v>1832</v>
      </c>
      <c r="C822" s="2" t="s">
        <v>73</v>
      </c>
      <c r="D822" s="2" t="s">
        <v>328</v>
      </c>
      <c r="E822" s="2">
        <v>4</v>
      </c>
      <c r="F822" s="2">
        <v>29164</v>
      </c>
      <c r="G822" s="2" t="s">
        <v>563</v>
      </c>
      <c r="H822" s="2" t="str">
        <f t="shared" si="12"/>
        <v>("ORD-00821","2025-04-10","FAS-FOO-072","CX-117",4,29164,"Cash"),</v>
      </c>
      <c r="N822" s="2"/>
      <c r="P822" s="4"/>
    </row>
    <row r="823" spans="1:16" x14ac:dyDescent="0.3">
      <c r="A823" s="2" t="s">
        <v>1388</v>
      </c>
      <c r="B823" s="5" t="s">
        <v>1896</v>
      </c>
      <c r="C823" s="2" t="s">
        <v>113</v>
      </c>
      <c r="D823" s="2" t="s">
        <v>486</v>
      </c>
      <c r="E823" s="2">
        <v>3</v>
      </c>
      <c r="F823" s="2">
        <v>116403</v>
      </c>
      <c r="G823" s="2" t="s">
        <v>565</v>
      </c>
      <c r="H823" s="2" t="str">
        <f t="shared" si="12"/>
        <v>("ORD-00822","2025-01-13","HOM-FUR-112","CX-038",3,116403,"NetBanking"),</v>
      </c>
      <c r="N823" s="2"/>
      <c r="P823" s="4"/>
    </row>
    <row r="824" spans="1:16" x14ac:dyDescent="0.3">
      <c r="A824" s="2" t="s">
        <v>1389</v>
      </c>
      <c r="B824" s="5" t="s">
        <v>1807</v>
      </c>
      <c r="C824" s="2" t="s">
        <v>184</v>
      </c>
      <c r="D824" s="2" t="s">
        <v>464</v>
      </c>
      <c r="E824" s="2">
        <v>1</v>
      </c>
      <c r="F824" s="2">
        <v>6084</v>
      </c>
      <c r="G824" s="2" t="s">
        <v>567</v>
      </c>
      <c r="H824" s="2" t="str">
        <f t="shared" si="12"/>
        <v>("ORD-00823","2025-09-09","BEA-MAK-183","CX-050",1,6084,"Wallet"),</v>
      </c>
      <c r="N824" s="2"/>
      <c r="P824" s="4"/>
    </row>
    <row r="825" spans="1:16" x14ac:dyDescent="0.3">
      <c r="A825" s="2" t="s">
        <v>1390</v>
      </c>
      <c r="B825" s="5" t="s">
        <v>1847</v>
      </c>
      <c r="C825" s="2" t="s">
        <v>123</v>
      </c>
      <c r="D825" s="2" t="s">
        <v>360</v>
      </c>
      <c r="E825" s="2">
        <v>5</v>
      </c>
      <c r="F825" s="2">
        <v>184685</v>
      </c>
      <c r="G825" s="2" t="s">
        <v>567</v>
      </c>
      <c r="H825" s="2" t="str">
        <f t="shared" si="12"/>
        <v>("ORD-00824","2025-01-22","SPO-FIT-122","CX-104",5,184685,"Wallet"),</v>
      </c>
      <c r="N825" s="2"/>
      <c r="P825" s="4"/>
    </row>
    <row r="826" spans="1:16" x14ac:dyDescent="0.3">
      <c r="A826" s="2" t="s">
        <v>1391</v>
      </c>
      <c r="B826" s="5" t="s">
        <v>1720</v>
      </c>
      <c r="C826" s="2" t="s">
        <v>35</v>
      </c>
      <c r="D826" s="2" t="s">
        <v>354</v>
      </c>
      <c r="E826" s="2">
        <v>1</v>
      </c>
      <c r="F826" s="2">
        <v>59279</v>
      </c>
      <c r="G826" s="2" t="s">
        <v>565</v>
      </c>
      <c r="H826" s="2" t="str">
        <f t="shared" si="12"/>
        <v>("ORD-00825","2025-08-20","ELE-CAM-034","CX-107",1,59279,"NetBanking"),</v>
      </c>
      <c r="N826" s="2"/>
      <c r="P826" s="4"/>
    </row>
    <row r="827" spans="1:16" x14ac:dyDescent="0.3">
      <c r="A827" s="2" t="s">
        <v>1392</v>
      </c>
      <c r="B827" s="5" t="s">
        <v>1805</v>
      </c>
      <c r="C827" s="2" t="s">
        <v>28</v>
      </c>
      <c r="D827" s="2" t="s">
        <v>477</v>
      </c>
      <c r="E827" s="2">
        <v>2</v>
      </c>
      <c r="F827" s="2">
        <v>64874</v>
      </c>
      <c r="G827" s="2" t="s">
        <v>570</v>
      </c>
      <c r="H827" s="2" t="str">
        <f t="shared" si="12"/>
        <v>("ORD-00826","2025-07-22","ELE-ACC-027","CX-043",2,64874,"UPI"),</v>
      </c>
      <c r="N827" s="2"/>
      <c r="P827" s="4"/>
    </row>
    <row r="828" spans="1:16" x14ac:dyDescent="0.3">
      <c r="A828" s="2" t="s">
        <v>1393</v>
      </c>
      <c r="B828" s="5" t="s">
        <v>1615</v>
      </c>
      <c r="C828" s="2" t="s">
        <v>23</v>
      </c>
      <c r="D828" s="2" t="s">
        <v>418</v>
      </c>
      <c r="E828" s="2">
        <v>1</v>
      </c>
      <c r="F828" s="2">
        <v>19693</v>
      </c>
      <c r="G828" s="2" t="s">
        <v>572</v>
      </c>
      <c r="H828" s="2" t="str">
        <f t="shared" si="12"/>
        <v>("ORD-00827","2025-03-07","ELE-ACC-022","CX-075",1,19693,"Card"),</v>
      </c>
      <c r="N828" s="2"/>
      <c r="P828" s="4"/>
    </row>
    <row r="829" spans="1:16" x14ac:dyDescent="0.3">
      <c r="A829" s="2" t="s">
        <v>1394</v>
      </c>
      <c r="B829" s="5" t="s">
        <v>1830</v>
      </c>
      <c r="C829" s="2" t="s">
        <v>156</v>
      </c>
      <c r="D829" s="2" t="s">
        <v>328</v>
      </c>
      <c r="E829" s="2">
        <v>2</v>
      </c>
      <c r="F829" s="2">
        <v>47656</v>
      </c>
      <c r="G829" s="2" t="s">
        <v>563</v>
      </c>
      <c r="H829" s="2" t="str">
        <f t="shared" si="12"/>
        <v>("ORD-00828","2025-11-22","SPO-ACC-155","CX-117",2,47656,"Cash"),</v>
      </c>
      <c r="N829" s="2"/>
      <c r="P829" s="4"/>
    </row>
    <row r="830" spans="1:16" x14ac:dyDescent="0.3">
      <c r="A830" s="2" t="s">
        <v>1395</v>
      </c>
      <c r="B830" s="5" t="s">
        <v>1797</v>
      </c>
      <c r="C830" s="2" t="s">
        <v>49</v>
      </c>
      <c r="D830" s="2" t="s">
        <v>389</v>
      </c>
      <c r="E830" s="2">
        <v>4</v>
      </c>
      <c r="F830" s="2">
        <v>41540</v>
      </c>
      <c r="G830" s="2" t="s">
        <v>565</v>
      </c>
      <c r="H830" s="2" t="str">
        <f t="shared" si="12"/>
        <v>("ORD-00829","2025-06-30","FAS-MEN-048","CX-090",4,41540,"NetBanking"),</v>
      </c>
      <c r="N830" s="2"/>
      <c r="P830" s="4"/>
    </row>
    <row r="831" spans="1:16" x14ac:dyDescent="0.3">
      <c r="A831" s="2" t="s">
        <v>1396</v>
      </c>
      <c r="B831" s="5" t="s">
        <v>1812</v>
      </c>
      <c r="C831" s="2" t="s">
        <v>17</v>
      </c>
      <c r="D831" s="2" t="s">
        <v>542</v>
      </c>
      <c r="E831" s="2">
        <v>2</v>
      </c>
      <c r="F831" s="2">
        <v>15918</v>
      </c>
      <c r="G831" s="2" t="s">
        <v>563</v>
      </c>
      <c r="H831" s="2" t="str">
        <f t="shared" si="12"/>
        <v>("ORD-00830","2025-05-07","ELE-LAP-016","CX-008",2,15918,"Cash"),</v>
      </c>
      <c r="N831" s="2"/>
      <c r="P831" s="4"/>
    </row>
    <row r="832" spans="1:16" x14ac:dyDescent="0.3">
      <c r="A832" s="2" t="s">
        <v>1397</v>
      </c>
      <c r="B832" s="5" t="s">
        <v>1815</v>
      </c>
      <c r="C832" s="2" t="s">
        <v>58</v>
      </c>
      <c r="D832" s="2" t="s">
        <v>464</v>
      </c>
      <c r="E832" s="2">
        <v>3</v>
      </c>
      <c r="F832" s="2">
        <v>120996</v>
      </c>
      <c r="G832" s="2" t="s">
        <v>572</v>
      </c>
      <c r="H832" s="2" t="str">
        <f t="shared" si="12"/>
        <v>("ORD-00831","2025-08-03","FAS-WOM-057","CX-050",3,120996,"Card"),</v>
      </c>
      <c r="N832" s="2"/>
      <c r="P832" s="4"/>
    </row>
    <row r="833" spans="1:16" x14ac:dyDescent="0.3">
      <c r="A833" s="2" t="s">
        <v>1398</v>
      </c>
      <c r="B833" s="5" t="s">
        <v>1579</v>
      </c>
      <c r="C833" s="2" t="s">
        <v>131</v>
      </c>
      <c r="D833" s="2" t="s">
        <v>370</v>
      </c>
      <c r="E833" s="2">
        <v>4</v>
      </c>
      <c r="F833" s="2">
        <v>40852</v>
      </c>
      <c r="G833" s="2" t="s">
        <v>565</v>
      </c>
      <c r="H833" s="2" t="str">
        <f t="shared" si="12"/>
        <v>("ORD-00832","2025-03-02","SPO-FIT-130","CX-099",4,40852,"NetBanking"),</v>
      </c>
      <c r="N833" s="2"/>
      <c r="P833" s="4"/>
    </row>
    <row r="834" spans="1:16" x14ac:dyDescent="0.3">
      <c r="A834" s="2" t="s">
        <v>1399</v>
      </c>
      <c r="B834" s="5" t="s">
        <v>1792</v>
      </c>
      <c r="C834" s="2" t="s">
        <v>150</v>
      </c>
      <c r="D834" s="2" t="s">
        <v>441</v>
      </c>
      <c r="E834" s="2">
        <v>3</v>
      </c>
      <c r="F834" s="2">
        <v>176679</v>
      </c>
      <c r="G834" s="2" t="s">
        <v>565</v>
      </c>
      <c r="H834" s="2" t="str">
        <f t="shared" si="12"/>
        <v>("ORD-00833","2025-06-20","SPO-IND-149","CX-062",3,176679,"NetBanking"),</v>
      </c>
      <c r="N834" s="2"/>
      <c r="P834" s="4"/>
    </row>
    <row r="835" spans="1:16" x14ac:dyDescent="0.3">
      <c r="A835" s="2" t="s">
        <v>1400</v>
      </c>
      <c r="B835" s="5" t="s">
        <v>1579</v>
      </c>
      <c r="C835" s="2" t="s">
        <v>71</v>
      </c>
      <c r="D835" s="2" t="s">
        <v>382</v>
      </c>
      <c r="E835" s="2">
        <v>5</v>
      </c>
      <c r="F835" s="2">
        <v>49095</v>
      </c>
      <c r="G835" s="2" t="s">
        <v>563</v>
      </c>
      <c r="H835" s="2" t="str">
        <f t="shared" ref="H835:H898" si="13">"("""&amp;A835&amp;""","""&amp;B835&amp;""","""&amp;C835&amp;""","""&amp;D835&amp;""","&amp;E835&amp;","&amp;F835&amp;","""&amp;G835&amp;"""),"</f>
        <v>("ORD-00834","2025-03-02","FAS-KID-070","CX-093",5,49095,"Cash"),</v>
      </c>
      <c r="N835" s="2"/>
      <c r="P835" s="4"/>
    </row>
    <row r="836" spans="1:16" x14ac:dyDescent="0.3">
      <c r="A836" s="2" t="s">
        <v>1401</v>
      </c>
      <c r="B836" s="5" t="s">
        <v>1808</v>
      </c>
      <c r="C836" s="2" t="s">
        <v>24</v>
      </c>
      <c r="D836" s="2" t="s">
        <v>475</v>
      </c>
      <c r="E836" s="2">
        <v>5</v>
      </c>
      <c r="F836" s="2">
        <v>203045</v>
      </c>
      <c r="G836" s="2" t="s">
        <v>572</v>
      </c>
      <c r="H836" s="2" t="str">
        <f t="shared" si="13"/>
        <v>("ORD-00835","2025-02-08","ELE-ACC-023","CX-044",5,203045,"Card"),</v>
      </c>
      <c r="N836" s="2"/>
      <c r="P836" s="4"/>
    </row>
    <row r="837" spans="1:16" x14ac:dyDescent="0.3">
      <c r="A837" s="2" t="s">
        <v>1402</v>
      </c>
      <c r="B837" s="5" t="s">
        <v>1865</v>
      </c>
      <c r="C837" s="2" t="s">
        <v>40</v>
      </c>
      <c r="D837" s="2" t="s">
        <v>539</v>
      </c>
      <c r="E837" s="2">
        <v>1</v>
      </c>
      <c r="F837" s="2">
        <v>10731</v>
      </c>
      <c r="G837" s="2" t="s">
        <v>570</v>
      </c>
      <c r="H837" s="2" t="str">
        <f t="shared" si="13"/>
        <v>("ORD-00836","2025-02-06","ELE-CAM-039","CX-010",1,10731,"UPI"),</v>
      </c>
      <c r="N837" s="2"/>
      <c r="P837" s="4"/>
    </row>
    <row r="838" spans="1:16" x14ac:dyDescent="0.3">
      <c r="A838" s="2" t="s">
        <v>1403</v>
      </c>
      <c r="B838" s="5" t="s">
        <v>1791</v>
      </c>
      <c r="C838" s="2" t="s">
        <v>118</v>
      </c>
      <c r="D838" s="2" t="s">
        <v>481</v>
      </c>
      <c r="E838" s="2">
        <v>3</v>
      </c>
      <c r="F838" s="2">
        <v>8697</v>
      </c>
      <c r="G838" s="2" t="s">
        <v>565</v>
      </c>
      <c r="H838" s="2" t="str">
        <f t="shared" si="13"/>
        <v>("ORD-00837","2025-02-10","HOM-FUR-117","CX-041",3,8697,"NetBanking"),</v>
      </c>
      <c r="N838" s="2"/>
      <c r="P838" s="4"/>
    </row>
    <row r="839" spans="1:16" x14ac:dyDescent="0.3">
      <c r="A839" s="2" t="s">
        <v>1404</v>
      </c>
      <c r="B839" s="5" t="s">
        <v>1674</v>
      </c>
      <c r="C839" s="2" t="s">
        <v>79</v>
      </c>
      <c r="D839" s="2" t="s">
        <v>465</v>
      </c>
      <c r="E839" s="2">
        <v>5</v>
      </c>
      <c r="F839" s="2">
        <v>160665</v>
      </c>
      <c r="G839" s="2" t="s">
        <v>567</v>
      </c>
      <c r="H839" s="2" t="str">
        <f t="shared" si="13"/>
        <v>("ORD-00838","2025-05-04","FAS-FOO-078","CX-049",5,160665,"Wallet"),</v>
      </c>
      <c r="N839" s="2"/>
      <c r="P839" s="4"/>
    </row>
    <row r="840" spans="1:16" x14ac:dyDescent="0.3">
      <c r="A840" s="2" t="s">
        <v>1405</v>
      </c>
      <c r="B840" s="5" t="s">
        <v>1630</v>
      </c>
      <c r="C840" s="2" t="s">
        <v>76</v>
      </c>
      <c r="D840" s="2" t="s">
        <v>416</v>
      </c>
      <c r="E840" s="2">
        <v>4</v>
      </c>
      <c r="F840" s="2">
        <v>195128</v>
      </c>
      <c r="G840" s="2" t="s">
        <v>565</v>
      </c>
      <c r="H840" s="2" t="str">
        <f t="shared" si="13"/>
        <v>("ORD-00839","2025-08-26","FAS-FOO-075","CX-076",4,195128,"NetBanking"),</v>
      </c>
      <c r="N840" s="2"/>
      <c r="P840" s="4"/>
    </row>
    <row r="841" spans="1:16" x14ac:dyDescent="0.3">
      <c r="A841" s="2" t="s">
        <v>1406</v>
      </c>
      <c r="B841" s="5" t="s">
        <v>1779</v>
      </c>
      <c r="C841" s="2" t="s">
        <v>28</v>
      </c>
      <c r="D841" s="2" t="s">
        <v>405</v>
      </c>
      <c r="E841" s="2">
        <v>3</v>
      </c>
      <c r="F841" s="2">
        <v>97311</v>
      </c>
      <c r="G841" s="2" t="s">
        <v>565</v>
      </c>
      <c r="H841" s="2" t="str">
        <f t="shared" si="13"/>
        <v>("ORD-00840","2025-02-27","ELE-ACC-027","CX-082",3,97311,"NetBanking"),</v>
      </c>
      <c r="N841" s="2"/>
      <c r="P841" s="4"/>
    </row>
    <row r="842" spans="1:16" x14ac:dyDescent="0.3">
      <c r="A842" s="2" t="s">
        <v>1407</v>
      </c>
      <c r="B842" s="5" t="s">
        <v>1888</v>
      </c>
      <c r="C842" s="2" t="s">
        <v>104</v>
      </c>
      <c r="D842" s="2" t="s">
        <v>503</v>
      </c>
      <c r="E842" s="2">
        <v>3</v>
      </c>
      <c r="F842" s="2">
        <v>108993</v>
      </c>
      <c r="G842" s="2" t="s">
        <v>567</v>
      </c>
      <c r="H842" s="2" t="str">
        <f t="shared" si="13"/>
        <v>("ORD-00841","2025-10-01","HOM-APP-103","CX-029",3,108993,"Wallet"),</v>
      </c>
      <c r="N842" s="2"/>
      <c r="P842" s="4"/>
    </row>
    <row r="843" spans="1:16" x14ac:dyDescent="0.3">
      <c r="A843" s="2" t="s">
        <v>1408</v>
      </c>
      <c r="B843" s="5" t="s">
        <v>1897</v>
      </c>
      <c r="C843" s="2" t="s">
        <v>124</v>
      </c>
      <c r="D843" s="2" t="s">
        <v>447</v>
      </c>
      <c r="E843" s="2">
        <v>2</v>
      </c>
      <c r="F843" s="2">
        <v>102792</v>
      </c>
      <c r="G843" s="2" t="s">
        <v>570</v>
      </c>
      <c r="H843" s="2" t="str">
        <f t="shared" si="13"/>
        <v>("ORD-00842","2025-02-03","SPO-FIT-123","CX-059",2,102792,"UPI"),</v>
      </c>
      <c r="N843" s="2"/>
      <c r="P843" s="4"/>
    </row>
    <row r="844" spans="1:16" x14ac:dyDescent="0.3">
      <c r="A844" s="2" t="s">
        <v>1409</v>
      </c>
      <c r="B844" s="5" t="s">
        <v>1774</v>
      </c>
      <c r="C844" s="2" t="s">
        <v>6</v>
      </c>
      <c r="D844" s="2" t="s">
        <v>518</v>
      </c>
      <c r="E844" s="2">
        <v>2</v>
      </c>
      <c r="F844" s="2">
        <v>32626</v>
      </c>
      <c r="G844" s="2" t="s">
        <v>567</v>
      </c>
      <c r="H844" s="2" t="str">
        <f t="shared" si="13"/>
        <v>("ORD-00843","2025-11-05","ELE-MOB-005","CX-021",2,32626,"Wallet"),</v>
      </c>
      <c r="N844" s="2"/>
      <c r="P844" s="4"/>
    </row>
    <row r="845" spans="1:16" x14ac:dyDescent="0.3">
      <c r="A845" s="2" t="s">
        <v>1410</v>
      </c>
      <c r="B845" s="5" t="s">
        <v>1852</v>
      </c>
      <c r="C845" s="2" t="s">
        <v>194</v>
      </c>
      <c r="D845" s="2" t="s">
        <v>535</v>
      </c>
      <c r="E845" s="2">
        <v>2</v>
      </c>
      <c r="F845" s="2">
        <v>59244</v>
      </c>
      <c r="G845" s="2" t="s">
        <v>563</v>
      </c>
      <c r="H845" s="2" t="str">
        <f t="shared" si="13"/>
        <v>("ORD-00844","2025-09-16","BEA-FRA-193","CX-012",2,59244,"Cash"),</v>
      </c>
      <c r="N845" s="2"/>
      <c r="P845" s="4"/>
    </row>
    <row r="846" spans="1:16" x14ac:dyDescent="0.3">
      <c r="A846" s="2" t="s">
        <v>1411</v>
      </c>
      <c r="B846" s="5" t="s">
        <v>1698</v>
      </c>
      <c r="C846" s="2" t="s">
        <v>88</v>
      </c>
      <c r="D846" s="2" t="s">
        <v>429</v>
      </c>
      <c r="E846" s="2">
        <v>3</v>
      </c>
      <c r="F846" s="2">
        <v>127026</v>
      </c>
      <c r="G846" s="2" t="s">
        <v>570</v>
      </c>
      <c r="H846" s="2" t="str">
        <f t="shared" si="13"/>
        <v>("ORD-00845","2025-03-12","HOM-KIT-087","CX-069",3,127026,"UPI"),</v>
      </c>
      <c r="N846" s="2"/>
      <c r="P846" s="4"/>
    </row>
    <row r="847" spans="1:16" x14ac:dyDescent="0.3">
      <c r="A847" s="2" t="s">
        <v>1412</v>
      </c>
      <c r="B847" s="5" t="s">
        <v>1818</v>
      </c>
      <c r="C847" s="2" t="s">
        <v>2</v>
      </c>
      <c r="D847" s="2" t="s">
        <v>331</v>
      </c>
      <c r="E847" s="2">
        <v>3</v>
      </c>
      <c r="F847" s="2">
        <v>74169</v>
      </c>
      <c r="G847" s="2" t="s">
        <v>565</v>
      </c>
      <c r="H847" s="2" t="str">
        <f t="shared" si="13"/>
        <v>("ORD-00846","2025-09-21","ELE-MOB-001","CX-116",3,74169,"NetBanking"),</v>
      </c>
      <c r="N847" s="2"/>
      <c r="P847" s="4"/>
    </row>
    <row r="848" spans="1:16" x14ac:dyDescent="0.3">
      <c r="A848" s="2" t="s">
        <v>1413</v>
      </c>
      <c r="B848" s="5" t="s">
        <v>1697</v>
      </c>
      <c r="C848" s="2" t="s">
        <v>106</v>
      </c>
      <c r="D848" s="2" t="s">
        <v>384</v>
      </c>
      <c r="E848" s="2">
        <v>2</v>
      </c>
      <c r="F848" s="2">
        <v>4444</v>
      </c>
      <c r="G848" s="2" t="s">
        <v>565</v>
      </c>
      <c r="H848" s="2" t="str">
        <f t="shared" si="13"/>
        <v>("ORD-00847","2025-02-04","HOM-APP-105","CX-092",2,4444,"NetBanking"),</v>
      </c>
      <c r="N848" s="2"/>
      <c r="P848" s="4"/>
    </row>
    <row r="849" spans="1:16" x14ac:dyDescent="0.3">
      <c r="A849" s="2" t="s">
        <v>1414</v>
      </c>
      <c r="B849" s="5" t="s">
        <v>1603</v>
      </c>
      <c r="C849" s="2" t="s">
        <v>4</v>
      </c>
      <c r="D849" s="2" t="s">
        <v>493</v>
      </c>
      <c r="E849" s="2">
        <v>2</v>
      </c>
      <c r="F849" s="2">
        <v>39720</v>
      </c>
      <c r="G849" s="2" t="s">
        <v>572</v>
      </c>
      <c r="H849" s="2" t="str">
        <f t="shared" si="13"/>
        <v>("ORD-00848","2025-09-03","ELE-MOB-003","CX-034",2,39720,"Card"),</v>
      </c>
      <c r="N849" s="2"/>
      <c r="P849" s="4"/>
    </row>
    <row r="850" spans="1:16" x14ac:dyDescent="0.3">
      <c r="A850" s="2" t="s">
        <v>1415</v>
      </c>
      <c r="B850" s="5" t="s">
        <v>1876</v>
      </c>
      <c r="C850" s="2" t="s">
        <v>86</v>
      </c>
      <c r="D850" s="2" t="s">
        <v>358</v>
      </c>
      <c r="E850" s="2">
        <v>5</v>
      </c>
      <c r="F850" s="2">
        <v>125930</v>
      </c>
      <c r="G850" s="2" t="s">
        <v>567</v>
      </c>
      <c r="H850" s="2" t="str">
        <f t="shared" si="13"/>
        <v>("ORD-00849","2025-01-02","HOM-KIT-085","CX-105",5,125930,"Wallet"),</v>
      </c>
      <c r="N850" s="2"/>
      <c r="P850" s="4"/>
    </row>
    <row r="851" spans="1:16" x14ac:dyDescent="0.3">
      <c r="A851" s="2" t="s">
        <v>1416</v>
      </c>
      <c r="B851" s="5" t="s">
        <v>1696</v>
      </c>
      <c r="C851" s="2" t="s">
        <v>103</v>
      </c>
      <c r="D851" s="2" t="s">
        <v>473</v>
      </c>
      <c r="E851" s="2">
        <v>4</v>
      </c>
      <c r="F851" s="2">
        <v>7396</v>
      </c>
      <c r="G851" s="2" t="s">
        <v>567</v>
      </c>
      <c r="H851" s="2" t="str">
        <f t="shared" si="13"/>
        <v>("ORD-00850","2025-04-02","HOM-APP-102","CX-045",4,7396,"Wallet"),</v>
      </c>
      <c r="N851" s="2"/>
      <c r="P851" s="4"/>
    </row>
    <row r="852" spans="1:16" x14ac:dyDescent="0.3">
      <c r="A852" s="2" t="s">
        <v>1417</v>
      </c>
      <c r="B852" s="5" t="s">
        <v>1621</v>
      </c>
      <c r="C852" s="2" t="s">
        <v>109</v>
      </c>
      <c r="D852" s="2" t="s">
        <v>401</v>
      </c>
      <c r="E852" s="2">
        <v>1</v>
      </c>
      <c r="F852" s="2">
        <v>18962</v>
      </c>
      <c r="G852" s="2" t="s">
        <v>570</v>
      </c>
      <c r="H852" s="2" t="str">
        <f t="shared" si="13"/>
        <v>("ORD-00851","2025-04-22","HOM-APP-108","CX-084",1,18962,"UPI"),</v>
      </c>
      <c r="N852" s="2"/>
      <c r="P852" s="4"/>
    </row>
    <row r="853" spans="1:16" x14ac:dyDescent="0.3">
      <c r="A853" s="2" t="s">
        <v>1418</v>
      </c>
      <c r="B853" s="5" t="s">
        <v>1898</v>
      </c>
      <c r="C853" s="2" t="s">
        <v>141</v>
      </c>
      <c r="D853" s="2" t="s">
        <v>509</v>
      </c>
      <c r="E853" s="2">
        <v>2</v>
      </c>
      <c r="F853" s="2">
        <v>56184</v>
      </c>
      <c r="G853" s="2" t="s">
        <v>563</v>
      </c>
      <c r="H853" s="2" t="str">
        <f t="shared" si="13"/>
        <v>("ORD-00852","2025-07-30","SPO-OUT-140","CX-026",2,56184,"Cash"),</v>
      </c>
      <c r="N853" s="2"/>
      <c r="P853" s="4"/>
    </row>
    <row r="854" spans="1:16" x14ac:dyDescent="0.3">
      <c r="A854" s="2" t="s">
        <v>1419</v>
      </c>
      <c r="B854" s="5" t="s">
        <v>1715</v>
      </c>
      <c r="C854" s="2" t="s">
        <v>182</v>
      </c>
      <c r="D854" s="2" t="s">
        <v>426</v>
      </c>
      <c r="E854" s="2">
        <v>5</v>
      </c>
      <c r="F854" s="2">
        <v>154370</v>
      </c>
      <c r="G854" s="2" t="s">
        <v>570</v>
      </c>
      <c r="H854" s="2" t="str">
        <f t="shared" si="13"/>
        <v>("ORD-00853","2025-08-27","BEA-MAK-181","CX-071",5,154370,"UPI"),</v>
      </c>
      <c r="N854" s="2"/>
      <c r="P854" s="4"/>
    </row>
    <row r="855" spans="1:16" x14ac:dyDescent="0.3">
      <c r="A855" s="2" t="s">
        <v>1420</v>
      </c>
      <c r="B855" s="5" t="s">
        <v>1604</v>
      </c>
      <c r="C855" s="2" t="s">
        <v>61</v>
      </c>
      <c r="D855" s="2" t="s">
        <v>515</v>
      </c>
      <c r="E855" s="2">
        <v>3</v>
      </c>
      <c r="F855" s="2">
        <v>152640</v>
      </c>
      <c r="G855" s="2" t="s">
        <v>572</v>
      </c>
      <c r="H855" s="2" t="str">
        <f t="shared" si="13"/>
        <v>("ORD-00854","2025-07-05","FAS-WOM-060","CX-023",3,152640,"Card"),</v>
      </c>
      <c r="N855" s="2"/>
      <c r="P855" s="4"/>
    </row>
    <row r="856" spans="1:16" x14ac:dyDescent="0.3">
      <c r="A856" s="2" t="s">
        <v>1421</v>
      </c>
      <c r="B856" s="5" t="s">
        <v>1607</v>
      </c>
      <c r="C856" s="2" t="s">
        <v>121</v>
      </c>
      <c r="D856" s="2" t="s">
        <v>422</v>
      </c>
      <c r="E856" s="2">
        <v>2</v>
      </c>
      <c r="F856" s="2">
        <v>105104</v>
      </c>
      <c r="G856" s="2" t="s">
        <v>565</v>
      </c>
      <c r="H856" s="2" t="str">
        <f t="shared" si="13"/>
        <v>("ORD-00855","2024-12-21","HOM-FUR-120","CX-073",2,105104,"NetBanking"),</v>
      </c>
      <c r="N856" s="2"/>
      <c r="P856" s="4"/>
    </row>
    <row r="857" spans="1:16" x14ac:dyDescent="0.3">
      <c r="A857" s="2" t="s">
        <v>1422</v>
      </c>
      <c r="B857" s="5" t="s">
        <v>1772</v>
      </c>
      <c r="C857" s="2" t="s">
        <v>93</v>
      </c>
      <c r="D857" s="2" t="s">
        <v>420</v>
      </c>
      <c r="E857" s="2">
        <v>3</v>
      </c>
      <c r="F857" s="2">
        <v>5721</v>
      </c>
      <c r="G857" s="2" t="s">
        <v>563</v>
      </c>
      <c r="H857" s="2" t="str">
        <f t="shared" si="13"/>
        <v>("ORD-00856","2025-10-05","HOM-DEC-092","CX-074",3,5721,"Cash"),</v>
      </c>
      <c r="N857" s="2"/>
      <c r="P857" s="4"/>
    </row>
    <row r="858" spans="1:16" x14ac:dyDescent="0.3">
      <c r="A858" s="2" t="s">
        <v>1423</v>
      </c>
      <c r="B858" s="5" t="s">
        <v>1643</v>
      </c>
      <c r="C858" s="2" t="s">
        <v>118</v>
      </c>
      <c r="D858" s="2" t="s">
        <v>376</v>
      </c>
      <c r="E858" s="2">
        <v>5</v>
      </c>
      <c r="F858" s="2">
        <v>14495</v>
      </c>
      <c r="G858" s="2" t="s">
        <v>563</v>
      </c>
      <c r="H858" s="2" t="str">
        <f t="shared" si="13"/>
        <v>("ORD-00857","2025-01-19","HOM-FUR-117","CX-096",5,14495,"Cash"),</v>
      </c>
      <c r="N858" s="2"/>
      <c r="P858" s="4"/>
    </row>
    <row r="859" spans="1:16" x14ac:dyDescent="0.3">
      <c r="A859" s="2" t="s">
        <v>1424</v>
      </c>
      <c r="B859" s="5" t="s">
        <v>1816</v>
      </c>
      <c r="C859" s="2" t="s">
        <v>68</v>
      </c>
      <c r="D859" s="2" t="s">
        <v>527</v>
      </c>
      <c r="E859" s="2">
        <v>4</v>
      </c>
      <c r="F859" s="2">
        <v>227100</v>
      </c>
      <c r="G859" s="2" t="s">
        <v>565</v>
      </c>
      <c r="H859" s="2" t="str">
        <f t="shared" si="13"/>
        <v>("ORD-00858","2025-05-28","FAS-KID-067","CX-016",4,227100,"NetBanking"),</v>
      </c>
      <c r="N859" s="2"/>
      <c r="P859" s="4"/>
    </row>
    <row r="860" spans="1:16" x14ac:dyDescent="0.3">
      <c r="A860" s="2" t="s">
        <v>1425</v>
      </c>
      <c r="B860" s="5" t="s">
        <v>1578</v>
      </c>
      <c r="C860" s="2" t="s">
        <v>118</v>
      </c>
      <c r="D860" s="2" t="s">
        <v>499</v>
      </c>
      <c r="E860" s="2">
        <v>1</v>
      </c>
      <c r="F860" s="2">
        <v>2899</v>
      </c>
      <c r="G860" s="2" t="s">
        <v>565</v>
      </c>
      <c r="H860" s="2" t="str">
        <f t="shared" si="13"/>
        <v>("ORD-00859","2025-09-20","HOM-FUR-117","CX-031",1,2899,"NetBanking"),</v>
      </c>
      <c r="N860" s="2"/>
      <c r="P860" s="4"/>
    </row>
    <row r="861" spans="1:16" x14ac:dyDescent="0.3">
      <c r="A861" s="2" t="s">
        <v>1426</v>
      </c>
      <c r="B861" s="5" t="s">
        <v>1868</v>
      </c>
      <c r="C861" s="2" t="s">
        <v>117</v>
      </c>
      <c r="D861" s="2" t="s">
        <v>533</v>
      </c>
      <c r="E861" s="2">
        <v>1</v>
      </c>
      <c r="F861" s="2">
        <v>56787</v>
      </c>
      <c r="G861" s="2" t="s">
        <v>565</v>
      </c>
      <c r="H861" s="2" t="str">
        <f t="shared" si="13"/>
        <v>("ORD-00860","2025-08-23","HOM-FUR-116","CX-013",1,56787,"NetBanking"),</v>
      </c>
      <c r="N861" s="2"/>
      <c r="P861" s="4"/>
    </row>
    <row r="862" spans="1:16" x14ac:dyDescent="0.3">
      <c r="A862" s="2" t="s">
        <v>1427</v>
      </c>
      <c r="B862" s="5" t="s">
        <v>1678</v>
      </c>
      <c r="C862" s="2" t="s">
        <v>187</v>
      </c>
      <c r="D862" s="2" t="s">
        <v>368</v>
      </c>
      <c r="E862" s="2">
        <v>3</v>
      </c>
      <c r="F862" s="2">
        <v>42519</v>
      </c>
      <c r="G862" s="2" t="s">
        <v>565</v>
      </c>
      <c r="H862" s="2" t="str">
        <f t="shared" si="13"/>
        <v>("ORD-00861","2025-10-14","BEA-MAK-186","CX-100",3,42519,"NetBanking"),</v>
      </c>
      <c r="N862" s="2"/>
      <c r="P862" s="4"/>
    </row>
    <row r="863" spans="1:16" x14ac:dyDescent="0.3">
      <c r="A863" s="2" t="s">
        <v>1428</v>
      </c>
      <c r="B863" s="5" t="s">
        <v>1796</v>
      </c>
      <c r="C863" s="2" t="s">
        <v>155</v>
      </c>
      <c r="D863" s="2" t="s">
        <v>436</v>
      </c>
      <c r="E863" s="2">
        <v>5</v>
      </c>
      <c r="F863" s="2">
        <v>186455</v>
      </c>
      <c r="G863" s="2" t="s">
        <v>567</v>
      </c>
      <c r="H863" s="2" t="str">
        <f t="shared" si="13"/>
        <v>("ORD-00862","2025-11-17","SPO-ACC-154","CX-065",5,186455,"Wallet"),</v>
      </c>
      <c r="N863" s="2"/>
      <c r="P863" s="4"/>
    </row>
    <row r="864" spans="1:16" x14ac:dyDescent="0.3">
      <c r="A864" s="2" t="s">
        <v>1429</v>
      </c>
      <c r="B864" s="5" t="s">
        <v>1869</v>
      </c>
      <c r="C864" s="2" t="s">
        <v>11</v>
      </c>
      <c r="D864" s="2" t="s">
        <v>427</v>
      </c>
      <c r="E864" s="2">
        <v>1</v>
      </c>
      <c r="F864" s="2">
        <v>1904</v>
      </c>
      <c r="G864" s="2" t="s">
        <v>565</v>
      </c>
      <c r="H864" s="2" t="str">
        <f t="shared" si="13"/>
        <v>("ORD-00863","2025-06-06","ELE-MOB-010","CX-070",1,1904,"NetBanking"),</v>
      </c>
      <c r="N864" s="2"/>
      <c r="P864" s="4"/>
    </row>
    <row r="865" spans="1:16" x14ac:dyDescent="0.3">
      <c r="A865" s="2" t="s">
        <v>1430</v>
      </c>
      <c r="B865" s="5" t="s">
        <v>1606</v>
      </c>
      <c r="C865" s="2" t="s">
        <v>199</v>
      </c>
      <c r="D865" s="2" t="s">
        <v>397</v>
      </c>
      <c r="E865" s="2">
        <v>3</v>
      </c>
      <c r="F865" s="2">
        <v>174954</v>
      </c>
      <c r="G865" s="2" t="s">
        <v>567</v>
      </c>
      <c r="H865" s="2" t="str">
        <f t="shared" si="13"/>
        <v>("ORD-00864","2025-06-12","BEA-FRA-198","CX-086",3,174954,"Wallet"),</v>
      </c>
      <c r="N865" s="2"/>
      <c r="P865" s="4"/>
    </row>
    <row r="866" spans="1:16" x14ac:dyDescent="0.3">
      <c r="A866" s="2" t="s">
        <v>1431</v>
      </c>
      <c r="B866" s="5" t="s">
        <v>1622</v>
      </c>
      <c r="C866" s="2" t="s">
        <v>74</v>
      </c>
      <c r="D866" s="2" t="s">
        <v>518</v>
      </c>
      <c r="E866" s="2">
        <v>2</v>
      </c>
      <c r="F866" s="2">
        <v>9982</v>
      </c>
      <c r="G866" s="2" t="s">
        <v>570</v>
      </c>
      <c r="H866" s="2" t="str">
        <f t="shared" si="13"/>
        <v>("ORD-00865","2025-06-26","FAS-FOO-073","CX-021",2,9982,"UPI"),</v>
      </c>
      <c r="N866" s="2"/>
      <c r="P866" s="4"/>
    </row>
    <row r="867" spans="1:16" x14ac:dyDescent="0.3">
      <c r="A867" s="2" t="s">
        <v>1432</v>
      </c>
      <c r="B867" s="5" t="s">
        <v>1626</v>
      </c>
      <c r="C867" s="2" t="s">
        <v>92</v>
      </c>
      <c r="D867" s="2" t="s">
        <v>366</v>
      </c>
      <c r="E867" s="2">
        <v>3</v>
      </c>
      <c r="F867" s="2">
        <v>76194</v>
      </c>
      <c r="G867" s="2" t="s">
        <v>572</v>
      </c>
      <c r="H867" s="2" t="str">
        <f t="shared" si="13"/>
        <v>("ORD-00866","2025-03-19","HOM-DEC-091","CX-101",3,76194,"Card"),</v>
      </c>
      <c r="N867" s="2"/>
      <c r="P867" s="4"/>
    </row>
    <row r="868" spans="1:16" x14ac:dyDescent="0.3">
      <c r="A868" s="2" t="s">
        <v>1433</v>
      </c>
      <c r="B868" s="5" t="s">
        <v>1764</v>
      </c>
      <c r="C868" s="2" t="s">
        <v>148</v>
      </c>
      <c r="D868" s="2" t="s">
        <v>511</v>
      </c>
      <c r="E868" s="2">
        <v>3</v>
      </c>
      <c r="F868" s="2">
        <v>82398</v>
      </c>
      <c r="G868" s="2" t="s">
        <v>570</v>
      </c>
      <c r="H868" s="2" t="str">
        <f t="shared" si="13"/>
        <v>("ORD-00867","2025-07-09","SPO-IND-147","CX-025",3,82398,"UPI"),</v>
      </c>
      <c r="N868" s="2"/>
      <c r="P868" s="4"/>
    </row>
    <row r="869" spans="1:16" x14ac:dyDescent="0.3">
      <c r="A869" s="2" t="s">
        <v>1434</v>
      </c>
      <c r="B869" s="5" t="s">
        <v>1676</v>
      </c>
      <c r="C869" s="2" t="s">
        <v>136</v>
      </c>
      <c r="D869" s="2" t="s">
        <v>374</v>
      </c>
      <c r="E869" s="2">
        <v>3</v>
      </c>
      <c r="F869" s="2">
        <v>13086</v>
      </c>
      <c r="G869" s="2" t="s">
        <v>572</v>
      </c>
      <c r="H869" s="2" t="str">
        <f t="shared" si="13"/>
        <v>("ORD-00868","2025-03-29","SPO-OUT-135","CX-097",3,13086,"Card"),</v>
      </c>
      <c r="N869" s="2"/>
      <c r="P869" s="4"/>
    </row>
    <row r="870" spans="1:16" x14ac:dyDescent="0.3">
      <c r="A870" s="2" t="s">
        <v>1435</v>
      </c>
      <c r="B870" s="5" t="s">
        <v>1738</v>
      </c>
      <c r="C870" s="2" t="s">
        <v>92</v>
      </c>
      <c r="D870" s="2" t="s">
        <v>473</v>
      </c>
      <c r="E870" s="2">
        <v>4</v>
      </c>
      <c r="F870" s="2">
        <v>101592</v>
      </c>
      <c r="G870" s="2" t="s">
        <v>567</v>
      </c>
      <c r="H870" s="2" t="str">
        <f t="shared" si="13"/>
        <v>("ORD-00869","2025-01-20","HOM-DEC-091","CX-045",4,101592,"Wallet"),</v>
      </c>
      <c r="N870" s="2"/>
      <c r="P870" s="4"/>
    </row>
    <row r="871" spans="1:16" x14ac:dyDescent="0.3">
      <c r="A871" s="2" t="s">
        <v>1436</v>
      </c>
      <c r="B871" s="5" t="s">
        <v>1863</v>
      </c>
      <c r="C871" s="2" t="s">
        <v>7</v>
      </c>
      <c r="D871" s="2" t="s">
        <v>501</v>
      </c>
      <c r="E871" s="2">
        <v>1</v>
      </c>
      <c r="F871" s="2">
        <v>50378</v>
      </c>
      <c r="G871" s="2" t="s">
        <v>563</v>
      </c>
      <c r="H871" s="2" t="str">
        <f t="shared" si="13"/>
        <v>("ORD-00870","2025-11-21","ELE-MOB-006","CX-030",1,50378,"Cash"),</v>
      </c>
      <c r="N871" s="2"/>
      <c r="P871" s="4"/>
    </row>
    <row r="872" spans="1:16" x14ac:dyDescent="0.3">
      <c r="A872" s="2" t="s">
        <v>1437</v>
      </c>
      <c r="B872" s="5" t="s">
        <v>1692</v>
      </c>
      <c r="C872" s="2" t="s">
        <v>150</v>
      </c>
      <c r="D872" s="2" t="s">
        <v>436</v>
      </c>
      <c r="E872" s="2">
        <v>3</v>
      </c>
      <c r="F872" s="2">
        <v>176679</v>
      </c>
      <c r="G872" s="2" t="s">
        <v>572</v>
      </c>
      <c r="H872" s="2" t="str">
        <f t="shared" si="13"/>
        <v>("ORD-00871","2025-02-15","SPO-IND-149","CX-065",3,176679,"Card"),</v>
      </c>
      <c r="N872" s="2"/>
      <c r="P872" s="4"/>
    </row>
    <row r="873" spans="1:16" x14ac:dyDescent="0.3">
      <c r="A873" s="2" t="s">
        <v>1438</v>
      </c>
      <c r="B873" s="5" t="s">
        <v>1899</v>
      </c>
      <c r="C873" s="2" t="s">
        <v>25</v>
      </c>
      <c r="D873" s="2" t="s">
        <v>551</v>
      </c>
      <c r="E873" s="2">
        <v>1</v>
      </c>
      <c r="F873" s="2">
        <v>6975</v>
      </c>
      <c r="G873" s="2" t="s">
        <v>563</v>
      </c>
      <c r="H873" s="2" t="str">
        <f t="shared" si="13"/>
        <v>("ORD-00872","2025-10-16","ELE-ACC-024","CX-003",1,6975,"Cash"),</v>
      </c>
      <c r="N873" s="2"/>
      <c r="P873" s="4"/>
    </row>
    <row r="874" spans="1:16" x14ac:dyDescent="0.3">
      <c r="A874" s="2" t="s">
        <v>1439</v>
      </c>
      <c r="B874" s="5" t="s">
        <v>1656</v>
      </c>
      <c r="C874" s="2" t="s">
        <v>194</v>
      </c>
      <c r="D874" s="2" t="s">
        <v>344</v>
      </c>
      <c r="E874" s="2">
        <v>2</v>
      </c>
      <c r="F874" s="2">
        <v>59244</v>
      </c>
      <c r="G874" s="2" t="s">
        <v>570</v>
      </c>
      <c r="H874" s="2" t="str">
        <f t="shared" si="13"/>
        <v>("ORD-00873","2025-11-01","BEA-FRA-193","CX-111",2,59244,"UPI"),</v>
      </c>
      <c r="N874" s="2"/>
      <c r="P874" s="4"/>
    </row>
    <row r="875" spans="1:16" x14ac:dyDescent="0.3">
      <c r="A875" s="2" t="s">
        <v>1440</v>
      </c>
      <c r="B875" s="5" t="s">
        <v>1777</v>
      </c>
      <c r="C875" s="2" t="s">
        <v>120</v>
      </c>
      <c r="D875" s="2" t="s">
        <v>397</v>
      </c>
      <c r="E875" s="2">
        <v>4</v>
      </c>
      <c r="F875" s="2">
        <v>77480</v>
      </c>
      <c r="G875" s="2" t="s">
        <v>563</v>
      </c>
      <c r="H875" s="2" t="str">
        <f t="shared" si="13"/>
        <v>("ORD-00874","2025-04-19","HOM-FUR-119","CX-086",4,77480,"Cash"),</v>
      </c>
      <c r="N875" s="2"/>
      <c r="P875" s="4"/>
    </row>
    <row r="876" spans="1:16" x14ac:dyDescent="0.3">
      <c r="A876" s="2" t="s">
        <v>1441</v>
      </c>
      <c r="B876" s="5" t="s">
        <v>1766</v>
      </c>
      <c r="C876" s="2" t="s">
        <v>116</v>
      </c>
      <c r="D876" s="2" t="s">
        <v>360</v>
      </c>
      <c r="E876" s="2">
        <v>1</v>
      </c>
      <c r="F876" s="2">
        <v>51812</v>
      </c>
      <c r="G876" s="2" t="s">
        <v>563</v>
      </c>
      <c r="H876" s="2" t="str">
        <f t="shared" si="13"/>
        <v>("ORD-00875","2025-03-16","HOM-FUR-115","CX-104",1,51812,"Cash"),</v>
      </c>
      <c r="N876" s="2"/>
      <c r="P876" s="4"/>
    </row>
    <row r="877" spans="1:16" x14ac:dyDescent="0.3">
      <c r="A877" s="2" t="s">
        <v>1442</v>
      </c>
      <c r="B877" s="5" t="s">
        <v>1879</v>
      </c>
      <c r="C877" s="2" t="s">
        <v>94</v>
      </c>
      <c r="D877" s="2" t="s">
        <v>549</v>
      </c>
      <c r="E877" s="2">
        <v>5</v>
      </c>
      <c r="F877" s="2">
        <v>146340</v>
      </c>
      <c r="G877" s="2" t="s">
        <v>572</v>
      </c>
      <c r="H877" s="2" t="str">
        <f t="shared" si="13"/>
        <v>("ORD-00876","2025-04-11","HOM-DEC-093","CX-004",5,146340,"Card"),</v>
      </c>
      <c r="N877" s="2"/>
      <c r="P877" s="4"/>
    </row>
    <row r="878" spans="1:16" x14ac:dyDescent="0.3">
      <c r="A878" s="2" t="s">
        <v>1443</v>
      </c>
      <c r="B878" s="5" t="s">
        <v>1771</v>
      </c>
      <c r="C878" s="2" t="s">
        <v>27</v>
      </c>
      <c r="D878" s="2" t="s">
        <v>531</v>
      </c>
      <c r="E878" s="2">
        <v>2</v>
      </c>
      <c r="F878" s="2">
        <v>104452</v>
      </c>
      <c r="G878" s="2" t="s">
        <v>570</v>
      </c>
      <c r="H878" s="2" t="str">
        <f t="shared" si="13"/>
        <v>("ORD-00877","2025-11-07","ELE-ACC-026","CX-014",2,104452,"UPI"),</v>
      </c>
      <c r="N878" s="2"/>
      <c r="P878" s="4"/>
    </row>
    <row r="879" spans="1:16" x14ac:dyDescent="0.3">
      <c r="A879" s="2" t="s">
        <v>1444</v>
      </c>
      <c r="B879" s="5" t="s">
        <v>1867</v>
      </c>
      <c r="C879" s="2" t="s">
        <v>30</v>
      </c>
      <c r="D879" s="2" t="s">
        <v>382</v>
      </c>
      <c r="E879" s="2">
        <v>4</v>
      </c>
      <c r="F879" s="2">
        <v>12228</v>
      </c>
      <c r="G879" s="2" t="s">
        <v>563</v>
      </c>
      <c r="H879" s="2" t="str">
        <f t="shared" si="13"/>
        <v>("ORD-00878","2025-10-27","ELE-ACC-029","CX-093",4,12228,"Cash"),</v>
      </c>
      <c r="N879" s="2"/>
      <c r="P879" s="4"/>
    </row>
    <row r="880" spans="1:16" x14ac:dyDescent="0.3">
      <c r="A880" s="2" t="s">
        <v>1445</v>
      </c>
      <c r="B880" s="5" t="s">
        <v>1748</v>
      </c>
      <c r="C880" s="2" t="s">
        <v>151</v>
      </c>
      <c r="D880" s="2" t="s">
        <v>542</v>
      </c>
      <c r="E880" s="2">
        <v>4</v>
      </c>
      <c r="F880" s="2">
        <v>118448</v>
      </c>
      <c r="G880" s="2" t="s">
        <v>570</v>
      </c>
      <c r="H880" s="2" t="str">
        <f t="shared" si="13"/>
        <v>("ORD-00879","2025-04-03","SPO-IND-150","CX-008",4,118448,"UPI"),</v>
      </c>
      <c r="N880" s="2"/>
      <c r="P880" s="4"/>
    </row>
    <row r="881" spans="1:16" x14ac:dyDescent="0.3">
      <c r="A881" s="2" t="s">
        <v>1446</v>
      </c>
      <c r="B881" s="5" t="s">
        <v>1721</v>
      </c>
      <c r="C881" s="2" t="s">
        <v>199</v>
      </c>
      <c r="D881" s="2" t="s">
        <v>501</v>
      </c>
      <c r="E881" s="2">
        <v>5</v>
      </c>
      <c r="F881" s="2">
        <v>291590</v>
      </c>
      <c r="G881" s="2" t="s">
        <v>563</v>
      </c>
      <c r="H881" s="2" t="str">
        <f t="shared" si="13"/>
        <v>("ORD-00880","2025-06-13","BEA-FRA-198","CX-030",5,291590,"Cash"),</v>
      </c>
      <c r="N881" s="2"/>
      <c r="P881" s="4"/>
    </row>
    <row r="882" spans="1:16" x14ac:dyDescent="0.3">
      <c r="A882" s="2" t="s">
        <v>1447</v>
      </c>
      <c r="B882" s="5" t="s">
        <v>1775</v>
      </c>
      <c r="C882" s="2" t="s">
        <v>21</v>
      </c>
      <c r="D882" s="2" t="s">
        <v>515</v>
      </c>
      <c r="E882" s="2">
        <v>2</v>
      </c>
      <c r="F882" s="2">
        <v>24010</v>
      </c>
      <c r="G882" s="2" t="s">
        <v>565</v>
      </c>
      <c r="H882" s="2" t="str">
        <f t="shared" si="13"/>
        <v>("ORD-00881","2025-07-03","ELE-LAP-020","CX-023",2,24010,"NetBanking"),</v>
      </c>
      <c r="N882" s="2"/>
      <c r="P882" s="4"/>
    </row>
    <row r="883" spans="1:16" x14ac:dyDescent="0.3">
      <c r="A883" s="2" t="s">
        <v>1448</v>
      </c>
      <c r="B883" s="5" t="s">
        <v>1611</v>
      </c>
      <c r="C883" s="2" t="s">
        <v>11</v>
      </c>
      <c r="D883" s="2" t="s">
        <v>471</v>
      </c>
      <c r="E883" s="2">
        <v>3</v>
      </c>
      <c r="F883" s="2">
        <v>5712</v>
      </c>
      <c r="G883" s="2" t="s">
        <v>565</v>
      </c>
      <c r="H883" s="2" t="str">
        <f t="shared" si="13"/>
        <v>("ORD-00882","2025-02-18","ELE-MOB-010","CX-046",3,5712,"NetBanking"),</v>
      </c>
      <c r="N883" s="2"/>
      <c r="P883" s="4"/>
    </row>
    <row r="884" spans="1:16" x14ac:dyDescent="0.3">
      <c r="A884" s="2" t="s">
        <v>1449</v>
      </c>
      <c r="B884" s="5" t="s">
        <v>1673</v>
      </c>
      <c r="C884" s="2" t="s">
        <v>97</v>
      </c>
      <c r="D884" s="2" t="s">
        <v>505</v>
      </c>
      <c r="E884" s="2">
        <v>5</v>
      </c>
      <c r="F884" s="2">
        <v>54435</v>
      </c>
      <c r="G884" s="2" t="s">
        <v>565</v>
      </c>
      <c r="H884" s="2" t="str">
        <f t="shared" si="13"/>
        <v>("ORD-00883","2025-04-12","HOM-DEC-096","CX-028",5,54435,"NetBanking"),</v>
      </c>
      <c r="N884" s="2"/>
      <c r="P884" s="4"/>
    </row>
    <row r="885" spans="1:16" x14ac:dyDescent="0.3">
      <c r="A885" s="2" t="s">
        <v>1450</v>
      </c>
      <c r="B885" s="5" t="s">
        <v>1713</v>
      </c>
      <c r="C885" s="2" t="s">
        <v>86</v>
      </c>
      <c r="D885" s="2" t="s">
        <v>537</v>
      </c>
      <c r="E885" s="2">
        <v>4</v>
      </c>
      <c r="F885" s="2">
        <v>100744</v>
      </c>
      <c r="G885" s="2" t="s">
        <v>570</v>
      </c>
      <c r="H885" s="2" t="str">
        <f t="shared" si="13"/>
        <v>("ORD-00884","2025-04-06","HOM-KIT-085","CX-011",4,100744,"UPI"),</v>
      </c>
      <c r="N885" s="2"/>
      <c r="P885" s="4"/>
    </row>
    <row r="886" spans="1:16" x14ac:dyDescent="0.3">
      <c r="A886" s="2" t="s">
        <v>1451</v>
      </c>
      <c r="B886" s="5" t="s">
        <v>1640</v>
      </c>
      <c r="C886" s="2" t="s">
        <v>159</v>
      </c>
      <c r="D886" s="2" t="s">
        <v>352</v>
      </c>
      <c r="E886" s="2">
        <v>4</v>
      </c>
      <c r="F886" s="2">
        <v>137704</v>
      </c>
      <c r="G886" s="2" t="s">
        <v>567</v>
      </c>
      <c r="H886" s="2" t="str">
        <f t="shared" si="13"/>
        <v>("ORD-00885","2025-04-21","SPO-ACC-158","CX-108",4,137704,"Wallet"),</v>
      </c>
      <c r="N886" s="2"/>
      <c r="P886" s="4"/>
    </row>
    <row r="887" spans="1:16" x14ac:dyDescent="0.3">
      <c r="A887" s="2" t="s">
        <v>1452</v>
      </c>
      <c r="B887" s="5" t="s">
        <v>1838</v>
      </c>
      <c r="C887" s="2" t="s">
        <v>69</v>
      </c>
      <c r="D887" s="2" t="s">
        <v>429</v>
      </c>
      <c r="E887" s="2">
        <v>3</v>
      </c>
      <c r="F887" s="2">
        <v>45909</v>
      </c>
      <c r="G887" s="2" t="s">
        <v>572</v>
      </c>
      <c r="H887" s="2" t="str">
        <f t="shared" si="13"/>
        <v>("ORD-00886","2025-02-24","FAS-KID-068","CX-069",3,45909,"Card"),</v>
      </c>
      <c r="N887" s="2"/>
      <c r="P887" s="4"/>
    </row>
    <row r="888" spans="1:16" x14ac:dyDescent="0.3">
      <c r="A888" s="2" t="s">
        <v>1453</v>
      </c>
      <c r="B888" s="5" t="s">
        <v>1874</v>
      </c>
      <c r="C888" s="2" t="s">
        <v>12</v>
      </c>
      <c r="D888" s="2" t="s">
        <v>366</v>
      </c>
      <c r="E888" s="2">
        <v>2</v>
      </c>
      <c r="F888" s="2">
        <v>87290</v>
      </c>
      <c r="G888" s="2" t="s">
        <v>567</v>
      </c>
      <c r="H888" s="2" t="str">
        <f t="shared" si="13"/>
        <v>("ORD-00887","2025-07-13","ELE-LAP-011","CX-101",2,87290,"Wallet"),</v>
      </c>
      <c r="N888" s="2"/>
      <c r="P888" s="4"/>
    </row>
    <row r="889" spans="1:16" x14ac:dyDescent="0.3">
      <c r="A889" s="2" t="s">
        <v>1454</v>
      </c>
      <c r="B889" s="5" t="s">
        <v>1883</v>
      </c>
      <c r="C889" s="2" t="s">
        <v>75</v>
      </c>
      <c r="D889" s="2" t="s">
        <v>437</v>
      </c>
      <c r="E889" s="2">
        <v>1</v>
      </c>
      <c r="F889" s="2">
        <v>11370</v>
      </c>
      <c r="G889" s="2" t="s">
        <v>567</v>
      </c>
      <c r="H889" s="2" t="str">
        <f t="shared" si="13"/>
        <v>("ORD-00888","2024-12-20","FAS-FOO-074","CX-064",1,11370,"Wallet"),</v>
      </c>
      <c r="N889" s="2"/>
      <c r="P889" s="4"/>
    </row>
    <row r="890" spans="1:16" x14ac:dyDescent="0.3">
      <c r="A890" s="2" t="s">
        <v>1455</v>
      </c>
      <c r="B890" s="5" t="s">
        <v>1702</v>
      </c>
      <c r="C890" s="2" t="s">
        <v>59</v>
      </c>
      <c r="D890" s="2" t="s">
        <v>542</v>
      </c>
      <c r="E890" s="2">
        <v>3</v>
      </c>
      <c r="F890" s="2">
        <v>93432</v>
      </c>
      <c r="G890" s="2" t="s">
        <v>565</v>
      </c>
      <c r="H890" s="2" t="str">
        <f t="shared" si="13"/>
        <v>("ORD-00889","2025-04-08","FAS-WOM-058","CX-008",3,93432,"NetBanking"),</v>
      </c>
      <c r="N890" s="2"/>
      <c r="P890" s="4"/>
    </row>
    <row r="891" spans="1:16" x14ac:dyDescent="0.3">
      <c r="A891" s="2" t="s">
        <v>1456</v>
      </c>
      <c r="B891" s="5" t="s">
        <v>1639</v>
      </c>
      <c r="C891" s="2" t="s">
        <v>16</v>
      </c>
      <c r="D891" s="2" t="s">
        <v>342</v>
      </c>
      <c r="E891" s="2">
        <v>2</v>
      </c>
      <c r="F891" s="2">
        <v>49146</v>
      </c>
      <c r="G891" s="2" t="s">
        <v>567</v>
      </c>
      <c r="H891" s="2" t="str">
        <f t="shared" si="13"/>
        <v>("ORD-00890","2025-03-09","ELE-LAP-015","CX-112",2,49146,"Wallet"),</v>
      </c>
      <c r="N891" s="2"/>
      <c r="P891" s="4"/>
    </row>
    <row r="892" spans="1:16" x14ac:dyDescent="0.3">
      <c r="A892" s="2" t="s">
        <v>1457</v>
      </c>
      <c r="B892" s="5" t="s">
        <v>1842</v>
      </c>
      <c r="C892" s="2" t="s">
        <v>70</v>
      </c>
      <c r="D892" s="2" t="s">
        <v>395</v>
      </c>
      <c r="E892" s="2">
        <v>3</v>
      </c>
      <c r="F892" s="2">
        <v>31254</v>
      </c>
      <c r="G892" s="2" t="s">
        <v>572</v>
      </c>
      <c r="H892" s="2" t="str">
        <f t="shared" si="13"/>
        <v>("ORD-00891","2025-08-11","FAS-KID-069","CX-087",3,31254,"Card"),</v>
      </c>
      <c r="N892" s="2"/>
      <c r="P892" s="4"/>
    </row>
    <row r="893" spans="1:16" x14ac:dyDescent="0.3">
      <c r="A893" s="2" t="s">
        <v>1458</v>
      </c>
      <c r="B893" s="5" t="s">
        <v>1900</v>
      </c>
      <c r="C893" s="2" t="s">
        <v>162</v>
      </c>
      <c r="D893" s="2" t="s">
        <v>501</v>
      </c>
      <c r="E893" s="2">
        <v>3</v>
      </c>
      <c r="F893" s="2">
        <v>65562</v>
      </c>
      <c r="G893" s="2" t="s">
        <v>563</v>
      </c>
      <c r="H893" s="2" t="str">
        <f t="shared" si="13"/>
        <v>("ORD-00892","2025-01-15","BEA-SKI-161","CX-030",3,65562,"Cash"),</v>
      </c>
      <c r="N893" s="2"/>
      <c r="P893" s="4"/>
    </row>
    <row r="894" spans="1:16" x14ac:dyDescent="0.3">
      <c r="A894" s="2" t="s">
        <v>1459</v>
      </c>
      <c r="B894" s="5" t="s">
        <v>1580</v>
      </c>
      <c r="C894" s="2" t="s">
        <v>49</v>
      </c>
      <c r="D894" s="2" t="s">
        <v>378</v>
      </c>
      <c r="E894" s="2">
        <v>4</v>
      </c>
      <c r="F894" s="2">
        <v>41540</v>
      </c>
      <c r="G894" s="2" t="s">
        <v>567</v>
      </c>
      <c r="H894" s="2" t="str">
        <f t="shared" si="13"/>
        <v>("ORD-00893","2025-11-19","FAS-MEN-048","CX-095",4,41540,"Wallet"),</v>
      </c>
      <c r="N894" s="2"/>
      <c r="P894" s="4"/>
    </row>
    <row r="895" spans="1:16" x14ac:dyDescent="0.3">
      <c r="A895" s="2" t="s">
        <v>1460</v>
      </c>
      <c r="B895" s="5" t="s">
        <v>1901</v>
      </c>
      <c r="C895" s="2" t="s">
        <v>171</v>
      </c>
      <c r="D895" s="2" t="s">
        <v>431</v>
      </c>
      <c r="E895" s="2">
        <v>5</v>
      </c>
      <c r="F895" s="2">
        <v>104285</v>
      </c>
      <c r="G895" s="2" t="s">
        <v>570</v>
      </c>
      <c r="H895" s="2" t="str">
        <f t="shared" si="13"/>
        <v>("ORD-00894","2025-02-21","BEA-SKI-170","CX-068",5,104285,"UPI"),</v>
      </c>
      <c r="N895" s="2"/>
      <c r="P895" s="4"/>
    </row>
    <row r="896" spans="1:16" x14ac:dyDescent="0.3">
      <c r="A896" s="2" t="s">
        <v>1461</v>
      </c>
      <c r="B896" s="5" t="s">
        <v>1688</v>
      </c>
      <c r="C896" s="2" t="s">
        <v>182</v>
      </c>
      <c r="D896" s="2" t="s">
        <v>408</v>
      </c>
      <c r="E896" s="2">
        <v>2</v>
      </c>
      <c r="F896" s="2">
        <v>61748</v>
      </c>
      <c r="G896" s="2" t="s">
        <v>567</v>
      </c>
      <c r="H896" s="2" t="str">
        <f t="shared" si="13"/>
        <v>("ORD-00895","2025-10-19","BEA-MAK-181","CX-080",2,61748,"Wallet"),</v>
      </c>
      <c r="N896" s="2"/>
      <c r="P896" s="4"/>
    </row>
    <row r="897" spans="1:16" x14ac:dyDescent="0.3">
      <c r="A897" s="2" t="s">
        <v>1462</v>
      </c>
      <c r="B897" s="5" t="s">
        <v>1592</v>
      </c>
      <c r="C897" s="2" t="s">
        <v>191</v>
      </c>
      <c r="D897" s="2" t="s">
        <v>318</v>
      </c>
      <c r="E897" s="2">
        <v>2</v>
      </c>
      <c r="F897" s="2">
        <v>95538</v>
      </c>
      <c r="G897" s="2" t="s">
        <v>567</v>
      </c>
      <c r="H897" s="2" t="str">
        <f t="shared" si="13"/>
        <v>("ORD-00896","2025-04-16","BEA-MAK-190","CX-120",2,95538,"Wallet"),</v>
      </c>
      <c r="N897" s="2"/>
      <c r="P897" s="4"/>
    </row>
    <row r="898" spans="1:16" x14ac:dyDescent="0.3">
      <c r="A898" s="2" t="s">
        <v>1463</v>
      </c>
      <c r="B898" s="5" t="s">
        <v>1590</v>
      </c>
      <c r="C898" s="2" t="s">
        <v>156</v>
      </c>
      <c r="D898" s="2" t="s">
        <v>403</v>
      </c>
      <c r="E898" s="2">
        <v>4</v>
      </c>
      <c r="F898" s="2">
        <v>95312</v>
      </c>
      <c r="G898" s="2" t="s">
        <v>563</v>
      </c>
      <c r="H898" s="2" t="str">
        <f t="shared" si="13"/>
        <v>("ORD-00897","2025-02-12","SPO-ACC-155","CX-083",4,95312,"Cash"),</v>
      </c>
      <c r="N898" s="2"/>
      <c r="P898" s="4"/>
    </row>
    <row r="899" spans="1:16" x14ac:dyDescent="0.3">
      <c r="A899" s="2" t="s">
        <v>1464</v>
      </c>
      <c r="B899" s="5" t="s">
        <v>1790</v>
      </c>
      <c r="C899" s="2" t="s">
        <v>165</v>
      </c>
      <c r="D899" s="2" t="s">
        <v>344</v>
      </c>
      <c r="E899" s="2">
        <v>2</v>
      </c>
      <c r="F899" s="2">
        <v>93606</v>
      </c>
      <c r="G899" s="2" t="s">
        <v>565</v>
      </c>
      <c r="H899" s="2" t="str">
        <f t="shared" ref="H899:H962" si="14">"("""&amp;A899&amp;""","""&amp;B899&amp;""","""&amp;C899&amp;""","""&amp;D899&amp;""","&amp;E899&amp;","&amp;F899&amp;","""&amp;G899&amp;"""),"</f>
        <v>("ORD-00898","2025-05-12","BEA-SKI-164","CX-111",2,93606,"NetBanking"),</v>
      </c>
      <c r="N899" s="2"/>
      <c r="P899" s="4"/>
    </row>
    <row r="900" spans="1:16" x14ac:dyDescent="0.3">
      <c r="A900" s="2" t="s">
        <v>1465</v>
      </c>
      <c r="B900" s="5" t="s">
        <v>1902</v>
      </c>
      <c r="C900" s="2" t="s">
        <v>198</v>
      </c>
      <c r="D900" s="2" t="s">
        <v>368</v>
      </c>
      <c r="E900" s="2">
        <v>5</v>
      </c>
      <c r="F900" s="2">
        <v>204250</v>
      </c>
      <c r="G900" s="2" t="s">
        <v>567</v>
      </c>
      <c r="H900" s="2" t="str">
        <f t="shared" si="14"/>
        <v>("ORD-00899","2025-01-25","BEA-FRA-197","CX-100",5,204250,"Wallet"),</v>
      </c>
      <c r="N900" s="2"/>
      <c r="P900" s="4"/>
    </row>
    <row r="901" spans="1:16" x14ac:dyDescent="0.3">
      <c r="A901" s="2" t="s">
        <v>1466</v>
      </c>
      <c r="B901" s="5" t="s">
        <v>1873</v>
      </c>
      <c r="C901" s="2" t="s">
        <v>38</v>
      </c>
      <c r="D901" s="2" t="s">
        <v>364</v>
      </c>
      <c r="E901" s="2">
        <v>1</v>
      </c>
      <c r="F901" s="2">
        <v>11162</v>
      </c>
      <c r="G901" s="2" t="s">
        <v>563</v>
      </c>
      <c r="H901" s="2" t="str">
        <f t="shared" si="14"/>
        <v>("ORD-00900","2025-08-08","ELE-CAM-037","CX-102",1,11162,"Cash"),</v>
      </c>
      <c r="N901" s="2"/>
      <c r="P901" s="4"/>
    </row>
    <row r="902" spans="1:16" x14ac:dyDescent="0.3">
      <c r="A902" s="2" t="s">
        <v>1467</v>
      </c>
      <c r="B902" s="5" t="s">
        <v>1786</v>
      </c>
      <c r="C902" s="2" t="s">
        <v>69</v>
      </c>
      <c r="D902" s="2" t="s">
        <v>427</v>
      </c>
      <c r="E902" s="2">
        <v>1</v>
      </c>
      <c r="F902" s="2">
        <v>15303</v>
      </c>
      <c r="G902" s="2" t="s">
        <v>563</v>
      </c>
      <c r="H902" s="2" t="str">
        <f t="shared" si="14"/>
        <v>("ORD-00901","2025-07-16","FAS-KID-068","CX-070",1,15303,"Cash"),</v>
      </c>
      <c r="N902" s="2"/>
      <c r="P902" s="4"/>
    </row>
    <row r="903" spans="1:16" x14ac:dyDescent="0.3">
      <c r="A903" s="2" t="s">
        <v>1468</v>
      </c>
      <c r="B903" s="5" t="s">
        <v>1669</v>
      </c>
      <c r="C903" s="2" t="s">
        <v>36</v>
      </c>
      <c r="D903" s="2" t="s">
        <v>360</v>
      </c>
      <c r="E903" s="2">
        <v>5</v>
      </c>
      <c r="F903" s="2">
        <v>123710</v>
      </c>
      <c r="G903" s="2" t="s">
        <v>572</v>
      </c>
      <c r="H903" s="2" t="str">
        <f t="shared" si="14"/>
        <v>("ORD-00902","2025-08-14","ELE-CAM-035","CX-104",5,123710,"Card"),</v>
      </c>
      <c r="N903" s="2"/>
      <c r="P903" s="4"/>
    </row>
    <row r="904" spans="1:16" x14ac:dyDescent="0.3">
      <c r="A904" s="2" t="s">
        <v>1469</v>
      </c>
      <c r="B904" s="5" t="s">
        <v>1592</v>
      </c>
      <c r="C904" s="2" t="s">
        <v>103</v>
      </c>
      <c r="D904" s="2" t="s">
        <v>366</v>
      </c>
      <c r="E904" s="2">
        <v>3</v>
      </c>
      <c r="F904" s="2">
        <v>5547</v>
      </c>
      <c r="G904" s="2" t="s">
        <v>570</v>
      </c>
      <c r="H904" s="2" t="str">
        <f t="shared" si="14"/>
        <v>("ORD-00903","2025-04-16","HOM-APP-102","CX-101",3,5547,"UPI"),</v>
      </c>
      <c r="N904" s="2"/>
      <c r="P904" s="4"/>
    </row>
    <row r="905" spans="1:16" x14ac:dyDescent="0.3">
      <c r="A905" s="2" t="s">
        <v>1470</v>
      </c>
      <c r="B905" s="5" t="s">
        <v>1808</v>
      </c>
      <c r="C905" s="2" t="s">
        <v>181</v>
      </c>
      <c r="D905" s="2" t="s">
        <v>414</v>
      </c>
      <c r="E905" s="2">
        <v>5</v>
      </c>
      <c r="F905" s="2">
        <v>102760</v>
      </c>
      <c r="G905" s="2" t="s">
        <v>567</v>
      </c>
      <c r="H905" s="2" t="str">
        <f t="shared" si="14"/>
        <v>("ORD-00904","2025-02-08","BEA-HAI-180","CX-077",5,102760,"Wallet"),</v>
      </c>
      <c r="N905" s="2"/>
      <c r="P905" s="4"/>
    </row>
    <row r="906" spans="1:16" x14ac:dyDescent="0.3">
      <c r="A906" s="2" t="s">
        <v>1471</v>
      </c>
      <c r="B906" s="5" t="s">
        <v>1877</v>
      </c>
      <c r="C906" s="2" t="s">
        <v>192</v>
      </c>
      <c r="D906" s="2" t="s">
        <v>479</v>
      </c>
      <c r="E906" s="2">
        <v>2</v>
      </c>
      <c r="F906" s="2">
        <v>109110</v>
      </c>
      <c r="G906" s="2" t="s">
        <v>570</v>
      </c>
      <c r="H906" s="2" t="str">
        <f t="shared" si="14"/>
        <v>("ORD-00905","2024-12-23","BEA-FRA-191","CX-042",2,109110,"UPI"),</v>
      </c>
      <c r="N906" s="2"/>
      <c r="P906" s="4"/>
    </row>
    <row r="907" spans="1:16" x14ac:dyDescent="0.3">
      <c r="A907" s="2" t="s">
        <v>1472</v>
      </c>
      <c r="B907" s="5" t="s">
        <v>1796</v>
      </c>
      <c r="C907" s="2" t="s">
        <v>133</v>
      </c>
      <c r="D907" s="2" t="s">
        <v>542</v>
      </c>
      <c r="E907" s="2">
        <v>1</v>
      </c>
      <c r="F907" s="2">
        <v>41258</v>
      </c>
      <c r="G907" s="2" t="s">
        <v>572</v>
      </c>
      <c r="H907" s="2" t="str">
        <f t="shared" si="14"/>
        <v>("ORD-00906","2025-11-17","SPO-OUT-132","CX-008",1,41258,"Card"),</v>
      </c>
      <c r="N907" s="2"/>
      <c r="P907" s="4"/>
    </row>
    <row r="908" spans="1:16" x14ac:dyDescent="0.3">
      <c r="A908" s="2" t="s">
        <v>1473</v>
      </c>
      <c r="B908" s="5" t="s">
        <v>1842</v>
      </c>
      <c r="C908" s="2" t="s">
        <v>6</v>
      </c>
      <c r="D908" s="2" t="s">
        <v>452</v>
      </c>
      <c r="E908" s="2">
        <v>3</v>
      </c>
      <c r="F908" s="2">
        <v>48939</v>
      </c>
      <c r="G908" s="2" t="s">
        <v>570</v>
      </c>
      <c r="H908" s="2" t="str">
        <f t="shared" si="14"/>
        <v>("ORD-00907","2025-08-11","ELE-MOB-005","CX-056",3,48939,"UPI"),</v>
      </c>
      <c r="N908" s="2"/>
      <c r="P908" s="4"/>
    </row>
    <row r="909" spans="1:16" x14ac:dyDescent="0.3">
      <c r="A909" s="2" t="s">
        <v>1474</v>
      </c>
      <c r="B909" s="5" t="s">
        <v>1751</v>
      </c>
      <c r="C909" s="2" t="s">
        <v>97</v>
      </c>
      <c r="D909" s="2" t="s">
        <v>501</v>
      </c>
      <c r="E909" s="2">
        <v>1</v>
      </c>
      <c r="F909" s="2">
        <v>10887</v>
      </c>
      <c r="G909" s="2" t="s">
        <v>567</v>
      </c>
      <c r="H909" s="2" t="str">
        <f t="shared" si="14"/>
        <v>("ORD-00908","2025-11-18","HOM-DEC-096","CX-030",1,10887,"Wallet"),</v>
      </c>
      <c r="N909" s="2"/>
      <c r="P909" s="4"/>
    </row>
    <row r="910" spans="1:16" x14ac:dyDescent="0.3">
      <c r="A910" s="2" t="s">
        <v>1475</v>
      </c>
      <c r="B910" s="5" t="s">
        <v>1583</v>
      </c>
      <c r="C910" s="2" t="s">
        <v>19</v>
      </c>
      <c r="D910" s="2" t="s">
        <v>448</v>
      </c>
      <c r="E910" s="2">
        <v>5</v>
      </c>
      <c r="F910" s="2">
        <v>88880</v>
      </c>
      <c r="G910" s="2" t="s">
        <v>567</v>
      </c>
      <c r="H910" s="2" t="str">
        <f t="shared" si="14"/>
        <v>("ORD-00909","2025-08-28","ELE-LAP-018","CX-058",5,88880,"Wallet"),</v>
      </c>
      <c r="N910" s="2"/>
      <c r="P910" s="4"/>
    </row>
    <row r="911" spans="1:16" x14ac:dyDescent="0.3">
      <c r="A911" s="2" t="s">
        <v>1476</v>
      </c>
      <c r="B911" s="5" t="s">
        <v>1817</v>
      </c>
      <c r="C911" s="2" t="s">
        <v>130</v>
      </c>
      <c r="D911" s="2" t="s">
        <v>370</v>
      </c>
      <c r="E911" s="2">
        <v>3</v>
      </c>
      <c r="F911" s="2">
        <v>91953</v>
      </c>
      <c r="G911" s="2" t="s">
        <v>565</v>
      </c>
      <c r="H911" s="2" t="str">
        <f t="shared" si="14"/>
        <v>("ORD-00910","2025-10-15","SPO-FIT-129","CX-099",3,91953,"NetBanking"),</v>
      </c>
      <c r="N911" s="2"/>
      <c r="P911" s="4"/>
    </row>
    <row r="912" spans="1:16" x14ac:dyDescent="0.3">
      <c r="A912" s="2" t="s">
        <v>1477</v>
      </c>
      <c r="B912" s="5" t="s">
        <v>1691</v>
      </c>
      <c r="C912" s="2" t="s">
        <v>37</v>
      </c>
      <c r="D912" s="2" t="s">
        <v>517</v>
      </c>
      <c r="E912" s="2">
        <v>3</v>
      </c>
      <c r="F912" s="2">
        <v>61074</v>
      </c>
      <c r="G912" s="2" t="s">
        <v>567</v>
      </c>
      <c r="H912" s="2" t="str">
        <f t="shared" si="14"/>
        <v>("ORD-00911","2025-06-05","ELE-CAM-036","CX-022",3,61074,"Wallet"),</v>
      </c>
      <c r="N912" s="2"/>
      <c r="P912" s="4"/>
    </row>
    <row r="913" spans="1:16" x14ac:dyDescent="0.3">
      <c r="A913" s="2" t="s">
        <v>1478</v>
      </c>
      <c r="B913" s="5" t="s">
        <v>1843</v>
      </c>
      <c r="C913" s="2" t="s">
        <v>12</v>
      </c>
      <c r="D913" s="2" t="s">
        <v>462</v>
      </c>
      <c r="E913" s="2">
        <v>5</v>
      </c>
      <c r="F913" s="2">
        <v>218225</v>
      </c>
      <c r="G913" s="2" t="s">
        <v>567</v>
      </c>
      <c r="H913" s="2" t="str">
        <f t="shared" si="14"/>
        <v>("ORD-00912","2025-05-05","ELE-LAP-011","CX-051",5,218225,"Wallet"),</v>
      </c>
      <c r="N913" s="2"/>
      <c r="P913" s="4"/>
    </row>
    <row r="914" spans="1:16" x14ac:dyDescent="0.3">
      <c r="A914" s="2" t="s">
        <v>1479</v>
      </c>
      <c r="B914" s="5" t="s">
        <v>1599</v>
      </c>
      <c r="C914" s="2" t="s">
        <v>33</v>
      </c>
      <c r="D914" s="2" t="s">
        <v>436</v>
      </c>
      <c r="E914" s="2">
        <v>4</v>
      </c>
      <c r="F914" s="2">
        <v>106044</v>
      </c>
      <c r="G914" s="2" t="s">
        <v>570</v>
      </c>
      <c r="H914" s="2" t="str">
        <f t="shared" si="14"/>
        <v>("ORD-00913","2025-05-26","ELE-CAM-032","CX-065",4,106044,"UPI"),</v>
      </c>
      <c r="N914" s="2"/>
      <c r="P914" s="4"/>
    </row>
    <row r="915" spans="1:16" x14ac:dyDescent="0.3">
      <c r="A915" s="2" t="s">
        <v>1480</v>
      </c>
      <c r="B915" s="5" t="s">
        <v>1770</v>
      </c>
      <c r="C915" s="2" t="s">
        <v>103</v>
      </c>
      <c r="D915" s="2" t="s">
        <v>467</v>
      </c>
      <c r="E915" s="2">
        <v>5</v>
      </c>
      <c r="F915" s="2">
        <v>9245</v>
      </c>
      <c r="G915" s="2" t="s">
        <v>565</v>
      </c>
      <c r="H915" s="2" t="str">
        <f t="shared" si="14"/>
        <v>("ORD-00914","2025-05-10","HOM-APP-102","CX-048",5,9245,"NetBanking"),</v>
      </c>
      <c r="N915" s="2"/>
      <c r="P915" s="4"/>
    </row>
    <row r="916" spans="1:16" x14ac:dyDescent="0.3">
      <c r="A916" s="2" t="s">
        <v>1481</v>
      </c>
      <c r="B916" s="5" t="s">
        <v>1674</v>
      </c>
      <c r="C916" s="2" t="s">
        <v>103</v>
      </c>
      <c r="D916" s="2" t="s">
        <v>399</v>
      </c>
      <c r="E916" s="2">
        <v>3</v>
      </c>
      <c r="F916" s="2">
        <v>5547</v>
      </c>
      <c r="G916" s="2" t="s">
        <v>570</v>
      </c>
      <c r="H916" s="2" t="str">
        <f t="shared" si="14"/>
        <v>("ORD-00915","2025-05-04","HOM-APP-102","CX-085",3,5547,"UPI"),</v>
      </c>
      <c r="N916" s="2"/>
      <c r="P916" s="4"/>
    </row>
    <row r="917" spans="1:16" x14ac:dyDescent="0.3">
      <c r="A917" s="2" t="s">
        <v>1482</v>
      </c>
      <c r="B917" s="5" t="s">
        <v>1901</v>
      </c>
      <c r="C917" s="2" t="s">
        <v>65</v>
      </c>
      <c r="D917" s="2" t="s">
        <v>414</v>
      </c>
      <c r="E917" s="2">
        <v>2</v>
      </c>
      <c r="F917" s="2">
        <v>14220</v>
      </c>
      <c r="G917" s="2" t="s">
        <v>565</v>
      </c>
      <c r="H917" s="2" t="str">
        <f t="shared" si="14"/>
        <v>("ORD-00916","2025-02-21","FAS-KID-064","CX-077",2,14220,"NetBanking"),</v>
      </c>
      <c r="N917" s="2"/>
      <c r="P917" s="4"/>
    </row>
    <row r="918" spans="1:16" x14ac:dyDescent="0.3">
      <c r="A918" s="2" t="s">
        <v>1483</v>
      </c>
      <c r="B918" s="5" t="s">
        <v>1583</v>
      </c>
      <c r="C918" s="2" t="s">
        <v>175</v>
      </c>
      <c r="D918" s="2" t="s">
        <v>539</v>
      </c>
      <c r="E918" s="2">
        <v>3</v>
      </c>
      <c r="F918" s="2">
        <v>137985</v>
      </c>
      <c r="G918" s="2" t="s">
        <v>572</v>
      </c>
      <c r="H918" s="2" t="str">
        <f t="shared" si="14"/>
        <v>("ORD-00917","2025-08-28","BEA-HAI-174","CX-010",3,137985,"Card"),</v>
      </c>
      <c r="N918" s="2"/>
      <c r="P918" s="4"/>
    </row>
    <row r="919" spans="1:16" x14ac:dyDescent="0.3">
      <c r="A919" s="2" t="s">
        <v>1484</v>
      </c>
      <c r="B919" s="5" t="s">
        <v>1848</v>
      </c>
      <c r="C919" s="2" t="s">
        <v>25</v>
      </c>
      <c r="D919" s="2" t="s">
        <v>318</v>
      </c>
      <c r="E919" s="2">
        <v>3</v>
      </c>
      <c r="F919" s="2">
        <v>20925</v>
      </c>
      <c r="G919" s="2" t="s">
        <v>570</v>
      </c>
      <c r="H919" s="2" t="str">
        <f t="shared" si="14"/>
        <v>("ORD-00918","2025-03-01","ELE-ACC-024","CX-120",3,20925,"UPI"),</v>
      </c>
      <c r="N919" s="2"/>
      <c r="P919" s="4"/>
    </row>
    <row r="920" spans="1:16" x14ac:dyDescent="0.3">
      <c r="A920" s="2" t="s">
        <v>1485</v>
      </c>
      <c r="B920" s="5" t="s">
        <v>1714</v>
      </c>
      <c r="C920" s="2" t="s">
        <v>9</v>
      </c>
      <c r="D920" s="2" t="s">
        <v>520</v>
      </c>
      <c r="E920" s="2">
        <v>2</v>
      </c>
      <c r="F920" s="2">
        <v>8242</v>
      </c>
      <c r="G920" s="2" t="s">
        <v>572</v>
      </c>
      <c r="H920" s="2" t="str">
        <f t="shared" si="14"/>
        <v>("ORD-00919","2024-12-18","ELE-MOB-008","CX-020",2,8242,"Card"),</v>
      </c>
      <c r="N920" s="2"/>
      <c r="P920" s="4"/>
    </row>
    <row r="921" spans="1:16" x14ac:dyDescent="0.3">
      <c r="A921" s="2" t="s">
        <v>1486</v>
      </c>
      <c r="B921" s="5" t="s">
        <v>1621</v>
      </c>
      <c r="C921" s="2" t="s">
        <v>194</v>
      </c>
      <c r="D921" s="2" t="s">
        <v>555</v>
      </c>
      <c r="E921" s="2">
        <v>3</v>
      </c>
      <c r="F921" s="2">
        <v>88866</v>
      </c>
      <c r="G921" s="2" t="s">
        <v>572</v>
      </c>
      <c r="H921" s="2" t="str">
        <f t="shared" si="14"/>
        <v>("ORD-00920","2025-04-22","BEA-FRA-193","CX-001",3,88866,"Card"),</v>
      </c>
      <c r="N921" s="2"/>
      <c r="P921" s="4"/>
    </row>
    <row r="922" spans="1:16" x14ac:dyDescent="0.3">
      <c r="A922" s="2" t="s">
        <v>1487</v>
      </c>
      <c r="B922" s="5" t="s">
        <v>1604</v>
      </c>
      <c r="C922" s="2" t="s">
        <v>20</v>
      </c>
      <c r="D922" s="2" t="s">
        <v>401</v>
      </c>
      <c r="E922" s="2">
        <v>3</v>
      </c>
      <c r="F922" s="2">
        <v>84180</v>
      </c>
      <c r="G922" s="2" t="s">
        <v>565</v>
      </c>
      <c r="H922" s="2" t="str">
        <f t="shared" si="14"/>
        <v>("ORD-00921","2025-07-05","ELE-LAP-019","CX-084",3,84180,"NetBanking"),</v>
      </c>
      <c r="N922" s="2"/>
      <c r="P922" s="4"/>
    </row>
    <row r="923" spans="1:16" x14ac:dyDescent="0.3">
      <c r="A923" s="2" t="s">
        <v>1488</v>
      </c>
      <c r="B923" s="5" t="s">
        <v>1652</v>
      </c>
      <c r="C923" s="2" t="s">
        <v>40</v>
      </c>
      <c r="D923" s="2" t="s">
        <v>515</v>
      </c>
      <c r="E923" s="2">
        <v>1</v>
      </c>
      <c r="F923" s="2">
        <v>10731</v>
      </c>
      <c r="G923" s="2" t="s">
        <v>563</v>
      </c>
      <c r="H923" s="2" t="str">
        <f t="shared" si="14"/>
        <v>("ORD-00922","2025-08-31","ELE-CAM-039","CX-023",1,10731,"Cash"),</v>
      </c>
      <c r="N923" s="2"/>
      <c r="P923" s="4"/>
    </row>
    <row r="924" spans="1:16" x14ac:dyDescent="0.3">
      <c r="A924" s="2" t="s">
        <v>1489</v>
      </c>
      <c r="B924" s="5" t="s">
        <v>1903</v>
      </c>
      <c r="C924" s="2" t="s">
        <v>155</v>
      </c>
      <c r="D924" s="2" t="s">
        <v>452</v>
      </c>
      <c r="E924" s="2">
        <v>4</v>
      </c>
      <c r="F924" s="2">
        <v>149164</v>
      </c>
      <c r="G924" s="2" t="s">
        <v>563</v>
      </c>
      <c r="H924" s="2" t="str">
        <f t="shared" si="14"/>
        <v>("ORD-00923","2025-06-03","SPO-ACC-154","CX-056",4,149164,"Cash"),</v>
      </c>
      <c r="N924" s="2"/>
      <c r="P924" s="4"/>
    </row>
    <row r="925" spans="1:16" x14ac:dyDescent="0.3">
      <c r="A925" s="2" t="s">
        <v>1490</v>
      </c>
      <c r="B925" s="5" t="s">
        <v>1838</v>
      </c>
      <c r="C925" s="2" t="s">
        <v>174</v>
      </c>
      <c r="D925" s="2" t="s">
        <v>420</v>
      </c>
      <c r="E925" s="2">
        <v>2</v>
      </c>
      <c r="F925" s="2">
        <v>78006</v>
      </c>
      <c r="G925" s="2" t="s">
        <v>567</v>
      </c>
      <c r="H925" s="2" t="str">
        <f t="shared" si="14"/>
        <v>("ORD-00924","2025-02-24","BEA-HAI-173","CX-074",2,78006,"Wallet"),</v>
      </c>
      <c r="N925" s="2"/>
      <c r="P925" s="4"/>
    </row>
    <row r="926" spans="1:16" x14ac:dyDescent="0.3">
      <c r="A926" s="2" t="s">
        <v>1491</v>
      </c>
      <c r="B926" s="5" t="s">
        <v>1630</v>
      </c>
      <c r="C926" s="2" t="s">
        <v>113</v>
      </c>
      <c r="D926" s="2" t="s">
        <v>372</v>
      </c>
      <c r="E926" s="2">
        <v>3</v>
      </c>
      <c r="F926" s="2">
        <v>116403</v>
      </c>
      <c r="G926" s="2" t="s">
        <v>570</v>
      </c>
      <c r="H926" s="2" t="str">
        <f t="shared" si="14"/>
        <v>("ORD-00925","2025-08-26","HOM-FUR-112","CX-098",3,116403,"UPI"),</v>
      </c>
      <c r="N926" s="2"/>
      <c r="P926" s="4"/>
    </row>
    <row r="927" spans="1:16" x14ac:dyDescent="0.3">
      <c r="A927" s="2" t="s">
        <v>1492</v>
      </c>
      <c r="B927" s="5" t="s">
        <v>1606</v>
      </c>
      <c r="C927" s="2" t="s">
        <v>13</v>
      </c>
      <c r="D927" s="2" t="s">
        <v>529</v>
      </c>
      <c r="E927" s="2">
        <v>2</v>
      </c>
      <c r="F927" s="2">
        <v>11478</v>
      </c>
      <c r="G927" s="2" t="s">
        <v>565</v>
      </c>
      <c r="H927" s="2" t="str">
        <f t="shared" si="14"/>
        <v>("ORD-00926","2025-06-12","ELE-LAP-012","CX-015",2,11478,"NetBanking"),</v>
      </c>
      <c r="N927" s="2"/>
      <c r="P927" s="4"/>
    </row>
    <row r="928" spans="1:16" x14ac:dyDescent="0.3">
      <c r="A928" s="2" t="s">
        <v>1493</v>
      </c>
      <c r="B928" s="5" t="s">
        <v>1574</v>
      </c>
      <c r="C928" s="2" t="s">
        <v>82</v>
      </c>
      <c r="D928" s="2" t="s">
        <v>322</v>
      </c>
      <c r="E928" s="2">
        <v>4</v>
      </c>
      <c r="F928" s="2">
        <v>80812</v>
      </c>
      <c r="G928" s="2" t="s">
        <v>570</v>
      </c>
      <c r="H928" s="2" t="str">
        <f t="shared" si="14"/>
        <v>("ORD-00927","2024-12-22","HOM-KIT-081","CX-119",4,80812,"UPI"),</v>
      </c>
      <c r="N928" s="2"/>
      <c r="P928" s="4"/>
    </row>
    <row r="929" spans="1:16" x14ac:dyDescent="0.3">
      <c r="A929" s="2" t="s">
        <v>1494</v>
      </c>
      <c r="B929" s="5" t="s">
        <v>1658</v>
      </c>
      <c r="C929" s="2" t="s">
        <v>22</v>
      </c>
      <c r="D929" s="2" t="s">
        <v>464</v>
      </c>
      <c r="E929" s="2">
        <v>1</v>
      </c>
      <c r="F929" s="2">
        <v>40972</v>
      </c>
      <c r="G929" s="2" t="s">
        <v>567</v>
      </c>
      <c r="H929" s="2" t="str">
        <f t="shared" si="14"/>
        <v>("ORD-00928","2025-01-17","ELE-ACC-021","CX-050",1,40972,"Wallet"),</v>
      </c>
      <c r="N929" s="2"/>
      <c r="P929" s="4"/>
    </row>
    <row r="930" spans="1:16" x14ac:dyDescent="0.3">
      <c r="A930" s="2" t="s">
        <v>1495</v>
      </c>
      <c r="B930" s="5" t="s">
        <v>1628</v>
      </c>
      <c r="C930" s="2" t="s">
        <v>29</v>
      </c>
      <c r="D930" s="2" t="s">
        <v>454</v>
      </c>
      <c r="E930" s="2">
        <v>3</v>
      </c>
      <c r="F930" s="2">
        <v>52257</v>
      </c>
      <c r="G930" s="2" t="s">
        <v>570</v>
      </c>
      <c r="H930" s="2" t="str">
        <f t="shared" si="14"/>
        <v>("ORD-00929","2025-01-01","ELE-ACC-028","CX-055",3,52257,"UPI"),</v>
      </c>
      <c r="N930" s="2"/>
      <c r="P930" s="4"/>
    </row>
    <row r="931" spans="1:16" x14ac:dyDescent="0.3">
      <c r="A931" s="2" t="s">
        <v>1496</v>
      </c>
      <c r="B931" s="5" t="s">
        <v>1585</v>
      </c>
      <c r="C931" s="2" t="s">
        <v>107</v>
      </c>
      <c r="D931" s="2" t="s">
        <v>360</v>
      </c>
      <c r="E931" s="2">
        <v>5</v>
      </c>
      <c r="F931" s="2">
        <v>53700</v>
      </c>
      <c r="G931" s="2" t="s">
        <v>567</v>
      </c>
      <c r="H931" s="2" t="str">
        <f t="shared" si="14"/>
        <v>("ORD-00930","2025-01-08","HOM-APP-106","CX-104",5,53700,"Wallet"),</v>
      </c>
      <c r="N931" s="2"/>
      <c r="P931" s="4"/>
    </row>
    <row r="932" spans="1:16" x14ac:dyDescent="0.3">
      <c r="A932" s="2" t="s">
        <v>1497</v>
      </c>
      <c r="B932" s="5" t="s">
        <v>1823</v>
      </c>
      <c r="C932" s="2" t="s">
        <v>199</v>
      </c>
      <c r="D932" s="2" t="s">
        <v>447</v>
      </c>
      <c r="E932" s="2">
        <v>2</v>
      </c>
      <c r="F932" s="2">
        <v>116636</v>
      </c>
      <c r="G932" s="2" t="s">
        <v>567</v>
      </c>
      <c r="H932" s="2" t="str">
        <f t="shared" si="14"/>
        <v>("ORD-00931","2025-10-02","BEA-FRA-198","CX-059",2,116636,"Wallet"),</v>
      </c>
      <c r="N932" s="2"/>
      <c r="P932" s="4"/>
    </row>
    <row r="933" spans="1:16" x14ac:dyDescent="0.3">
      <c r="A933" s="2" t="s">
        <v>1498</v>
      </c>
      <c r="B933" s="5" t="s">
        <v>1795</v>
      </c>
      <c r="C933" s="2" t="s">
        <v>169</v>
      </c>
      <c r="D933" s="2" t="s">
        <v>454</v>
      </c>
      <c r="E933" s="2">
        <v>3</v>
      </c>
      <c r="F933" s="2">
        <v>40740</v>
      </c>
      <c r="G933" s="2" t="s">
        <v>570</v>
      </c>
      <c r="H933" s="2" t="str">
        <f t="shared" si="14"/>
        <v>("ORD-00932","2024-12-02","BEA-SKI-168","CX-055",3,40740,"UPI"),</v>
      </c>
      <c r="N933" s="2"/>
      <c r="P933" s="4"/>
    </row>
    <row r="934" spans="1:16" x14ac:dyDescent="0.3">
      <c r="A934" s="2" t="s">
        <v>1499</v>
      </c>
      <c r="B934" s="5" t="s">
        <v>1871</v>
      </c>
      <c r="C934" s="2" t="s">
        <v>176</v>
      </c>
      <c r="D934" s="2" t="s">
        <v>439</v>
      </c>
      <c r="E934" s="2">
        <v>5</v>
      </c>
      <c r="F934" s="2">
        <v>132025</v>
      </c>
      <c r="G934" s="2" t="s">
        <v>563</v>
      </c>
      <c r="H934" s="2" t="str">
        <f t="shared" si="14"/>
        <v>("ORD-00933","2025-11-04","BEA-HAI-175","CX-063",5,132025,"Cash"),</v>
      </c>
      <c r="N934" s="2"/>
      <c r="P934" s="4"/>
    </row>
    <row r="935" spans="1:16" x14ac:dyDescent="0.3">
      <c r="A935" s="2" t="s">
        <v>1500</v>
      </c>
      <c r="B935" s="5" t="s">
        <v>1800</v>
      </c>
      <c r="C935" s="2" t="s">
        <v>156</v>
      </c>
      <c r="D935" s="2" t="s">
        <v>441</v>
      </c>
      <c r="E935" s="2">
        <v>4</v>
      </c>
      <c r="F935" s="2">
        <v>95312</v>
      </c>
      <c r="G935" s="2" t="s">
        <v>572</v>
      </c>
      <c r="H935" s="2" t="str">
        <f t="shared" si="14"/>
        <v>("ORD-00934","2025-05-18","SPO-ACC-155","CX-062",4,95312,"Card"),</v>
      </c>
      <c r="N935" s="2"/>
      <c r="P935" s="4"/>
    </row>
    <row r="936" spans="1:16" x14ac:dyDescent="0.3">
      <c r="A936" s="2" t="s">
        <v>1501</v>
      </c>
      <c r="B936" s="5" t="s">
        <v>1669</v>
      </c>
      <c r="C936" s="2" t="s">
        <v>141</v>
      </c>
      <c r="D936" s="2" t="s">
        <v>370</v>
      </c>
      <c r="E936" s="2">
        <v>2</v>
      </c>
      <c r="F936" s="2">
        <v>56184</v>
      </c>
      <c r="G936" s="2" t="s">
        <v>563</v>
      </c>
      <c r="H936" s="2" t="str">
        <f t="shared" si="14"/>
        <v>("ORD-00935","2025-08-14","SPO-OUT-140","CX-099",2,56184,"Cash"),</v>
      </c>
      <c r="N936" s="2"/>
      <c r="P936" s="4"/>
    </row>
    <row r="937" spans="1:16" x14ac:dyDescent="0.3">
      <c r="A937" s="2" t="s">
        <v>1502</v>
      </c>
      <c r="B937" s="5" t="s">
        <v>1904</v>
      </c>
      <c r="C937" s="2" t="s">
        <v>39</v>
      </c>
      <c r="D937" s="2" t="s">
        <v>376</v>
      </c>
      <c r="E937" s="2">
        <v>1</v>
      </c>
      <c r="F937" s="2">
        <v>32504</v>
      </c>
      <c r="G937" s="2" t="s">
        <v>572</v>
      </c>
      <c r="H937" s="2" t="str">
        <f t="shared" si="14"/>
        <v>("ORD-00936","2025-11-29","ELE-CAM-038","CX-096",1,32504,"Card"),</v>
      </c>
      <c r="N937" s="2"/>
      <c r="P937" s="4"/>
    </row>
    <row r="938" spans="1:16" x14ac:dyDescent="0.3">
      <c r="A938" s="2" t="s">
        <v>1503</v>
      </c>
      <c r="B938" s="5" t="s">
        <v>1625</v>
      </c>
      <c r="C938" s="2" t="s">
        <v>190</v>
      </c>
      <c r="D938" s="2" t="s">
        <v>489</v>
      </c>
      <c r="E938" s="2">
        <v>4</v>
      </c>
      <c r="F938" s="2">
        <v>31572</v>
      </c>
      <c r="G938" s="2" t="s">
        <v>567</v>
      </c>
      <c r="H938" s="2" t="str">
        <f t="shared" si="14"/>
        <v>("ORD-00937","2025-01-11","BEA-MAK-189","CX-036",4,31572,"Wallet"),</v>
      </c>
      <c r="N938" s="2"/>
      <c r="P938" s="4"/>
    </row>
    <row r="939" spans="1:16" x14ac:dyDescent="0.3">
      <c r="A939" s="2" t="s">
        <v>1504</v>
      </c>
      <c r="B939" s="5" t="s">
        <v>1755</v>
      </c>
      <c r="C939" s="2" t="s">
        <v>31</v>
      </c>
      <c r="D939" s="2" t="s">
        <v>501</v>
      </c>
      <c r="E939" s="2">
        <v>1</v>
      </c>
      <c r="F939" s="2">
        <v>38034</v>
      </c>
      <c r="G939" s="2" t="s">
        <v>563</v>
      </c>
      <c r="H939" s="2" t="str">
        <f t="shared" si="14"/>
        <v>("ORD-00938","2025-09-04","ELE-ACC-030","CX-030",1,38034,"Cash"),</v>
      </c>
      <c r="N939" s="2"/>
      <c r="P939" s="4"/>
    </row>
    <row r="940" spans="1:16" x14ac:dyDescent="0.3">
      <c r="A940" s="2" t="s">
        <v>1505</v>
      </c>
      <c r="B940" s="5" t="s">
        <v>1759</v>
      </c>
      <c r="C940" s="2" t="s">
        <v>145</v>
      </c>
      <c r="D940" s="2" t="s">
        <v>431</v>
      </c>
      <c r="E940" s="2">
        <v>4</v>
      </c>
      <c r="F940" s="2">
        <v>132680</v>
      </c>
      <c r="G940" s="2" t="s">
        <v>563</v>
      </c>
      <c r="H940" s="2" t="str">
        <f t="shared" si="14"/>
        <v>("ORD-00939","2025-08-09","SPO-IND-144","CX-068",4,132680,"Cash"),</v>
      </c>
      <c r="N940" s="2"/>
      <c r="P940" s="4"/>
    </row>
    <row r="941" spans="1:16" x14ac:dyDescent="0.3">
      <c r="A941" s="2" t="s">
        <v>1506</v>
      </c>
      <c r="B941" s="5" t="s">
        <v>1752</v>
      </c>
      <c r="C941" s="2" t="s">
        <v>43</v>
      </c>
      <c r="D941" s="2" t="s">
        <v>505</v>
      </c>
      <c r="E941" s="2">
        <v>5</v>
      </c>
      <c r="F941" s="2">
        <v>244075</v>
      </c>
      <c r="G941" s="2" t="s">
        <v>570</v>
      </c>
      <c r="H941" s="2" t="str">
        <f t="shared" si="14"/>
        <v>("ORD-00940","2025-08-19","FAS-MEN-042","CX-028",5,244075,"UPI"),</v>
      </c>
      <c r="N941" s="2"/>
      <c r="P941" s="4"/>
    </row>
    <row r="942" spans="1:16" x14ac:dyDescent="0.3">
      <c r="A942" s="2" t="s">
        <v>1507</v>
      </c>
      <c r="B942" s="5" t="s">
        <v>1896</v>
      </c>
      <c r="C942" s="2" t="s">
        <v>156</v>
      </c>
      <c r="D942" s="2" t="s">
        <v>422</v>
      </c>
      <c r="E942" s="2">
        <v>3</v>
      </c>
      <c r="F942" s="2">
        <v>71484</v>
      </c>
      <c r="G942" s="2" t="s">
        <v>563</v>
      </c>
      <c r="H942" s="2" t="str">
        <f t="shared" si="14"/>
        <v>("ORD-00941","2025-01-13","SPO-ACC-155","CX-073",3,71484,"Cash"),</v>
      </c>
      <c r="N942" s="2"/>
      <c r="P942" s="4"/>
    </row>
    <row r="943" spans="1:16" x14ac:dyDescent="0.3">
      <c r="A943" s="2" t="s">
        <v>1508</v>
      </c>
      <c r="B943" s="5" t="s">
        <v>1852</v>
      </c>
      <c r="C943" s="2" t="s">
        <v>105</v>
      </c>
      <c r="D943" s="2" t="s">
        <v>391</v>
      </c>
      <c r="E943" s="2">
        <v>1</v>
      </c>
      <c r="F943" s="2">
        <v>41102</v>
      </c>
      <c r="G943" s="2" t="s">
        <v>563</v>
      </c>
      <c r="H943" s="2" t="str">
        <f t="shared" si="14"/>
        <v>("ORD-00942","2025-09-16","HOM-APP-104","CX-089",1,41102,"Cash"),</v>
      </c>
      <c r="N943" s="2"/>
      <c r="P943" s="4"/>
    </row>
    <row r="944" spans="1:16" x14ac:dyDescent="0.3">
      <c r="A944" s="2" t="s">
        <v>1509</v>
      </c>
      <c r="B944" s="5" t="s">
        <v>1807</v>
      </c>
      <c r="C944" s="2" t="s">
        <v>186</v>
      </c>
      <c r="D944" s="2" t="s">
        <v>447</v>
      </c>
      <c r="E944" s="2">
        <v>4</v>
      </c>
      <c r="F944" s="2">
        <v>148612</v>
      </c>
      <c r="G944" s="2" t="s">
        <v>563</v>
      </c>
      <c r="H944" s="2" t="str">
        <f t="shared" si="14"/>
        <v>("ORD-00943","2025-09-09","BEA-MAK-185","CX-059",4,148612,"Cash"),</v>
      </c>
      <c r="N944" s="2"/>
      <c r="P944" s="4"/>
    </row>
    <row r="945" spans="1:16" x14ac:dyDescent="0.3">
      <c r="A945" s="2" t="s">
        <v>1510</v>
      </c>
      <c r="B945" s="5" t="s">
        <v>1807</v>
      </c>
      <c r="C945" s="2" t="s">
        <v>16</v>
      </c>
      <c r="D945" s="2" t="s">
        <v>487</v>
      </c>
      <c r="E945" s="2">
        <v>5</v>
      </c>
      <c r="F945" s="2">
        <v>122865</v>
      </c>
      <c r="G945" s="2" t="s">
        <v>572</v>
      </c>
      <c r="H945" s="2" t="str">
        <f t="shared" si="14"/>
        <v>("ORD-00944","2025-09-09","ELE-LAP-015","CX-037",5,122865,"Card"),</v>
      </c>
      <c r="N945" s="2"/>
      <c r="P945" s="4"/>
    </row>
    <row r="946" spans="1:16" x14ac:dyDescent="0.3">
      <c r="A946" s="2" t="s">
        <v>1511</v>
      </c>
      <c r="B946" s="5" t="s">
        <v>1750</v>
      </c>
      <c r="C946" s="2" t="s">
        <v>92</v>
      </c>
      <c r="D946" s="2" t="s">
        <v>537</v>
      </c>
      <c r="E946" s="2">
        <v>1</v>
      </c>
      <c r="F946" s="2">
        <v>25398</v>
      </c>
      <c r="G946" s="2" t="s">
        <v>565</v>
      </c>
      <c r="H946" s="2" t="str">
        <f t="shared" si="14"/>
        <v>("ORD-00945","2025-09-07","HOM-DEC-091","CX-011",1,25398,"NetBanking"),</v>
      </c>
      <c r="N946" s="2"/>
      <c r="P946" s="4"/>
    </row>
    <row r="947" spans="1:16" x14ac:dyDescent="0.3">
      <c r="A947" s="2" t="s">
        <v>1512</v>
      </c>
      <c r="B947" s="5" t="s">
        <v>1844</v>
      </c>
      <c r="C947" s="2" t="s">
        <v>62</v>
      </c>
      <c r="D947" s="2" t="s">
        <v>391</v>
      </c>
      <c r="E947" s="2">
        <v>1</v>
      </c>
      <c r="F947" s="2">
        <v>15203</v>
      </c>
      <c r="G947" s="2" t="s">
        <v>563</v>
      </c>
      <c r="H947" s="2" t="str">
        <f t="shared" si="14"/>
        <v>("ORD-00946","2025-09-22","FAS-KID-061","CX-089",1,15203,"Cash"),</v>
      </c>
      <c r="N947" s="2"/>
      <c r="P947" s="4"/>
    </row>
    <row r="948" spans="1:16" x14ac:dyDescent="0.3">
      <c r="A948" s="2" t="s">
        <v>1513</v>
      </c>
      <c r="B948" s="5" t="s">
        <v>1760</v>
      </c>
      <c r="C948" s="2" t="s">
        <v>141</v>
      </c>
      <c r="D948" s="2" t="s">
        <v>533</v>
      </c>
      <c r="E948" s="2">
        <v>5</v>
      </c>
      <c r="F948" s="2">
        <v>140460</v>
      </c>
      <c r="G948" s="2" t="s">
        <v>570</v>
      </c>
      <c r="H948" s="2" t="str">
        <f t="shared" si="14"/>
        <v>("ORD-00947","2025-05-14","SPO-OUT-140","CX-013",5,140460,"UPI"),</v>
      </c>
      <c r="N948" s="2"/>
      <c r="P948" s="4"/>
    </row>
    <row r="949" spans="1:16" x14ac:dyDescent="0.3">
      <c r="A949" s="2" t="s">
        <v>1514</v>
      </c>
      <c r="B949" s="5" t="s">
        <v>1894</v>
      </c>
      <c r="C949" s="2" t="s">
        <v>40</v>
      </c>
      <c r="D949" s="2" t="s">
        <v>422</v>
      </c>
      <c r="E949" s="2">
        <v>5</v>
      </c>
      <c r="F949" s="2">
        <v>53655</v>
      </c>
      <c r="G949" s="2" t="s">
        <v>570</v>
      </c>
      <c r="H949" s="2" t="str">
        <f t="shared" si="14"/>
        <v>("ORD-00948","2024-12-30","ELE-CAM-039","CX-073",5,53655,"UPI"),</v>
      </c>
      <c r="N949" s="2"/>
      <c r="P949" s="4"/>
    </row>
    <row r="950" spans="1:16" x14ac:dyDescent="0.3">
      <c r="A950" s="2" t="s">
        <v>1515</v>
      </c>
      <c r="B950" s="5" t="s">
        <v>1613</v>
      </c>
      <c r="C950" s="2" t="s">
        <v>157</v>
      </c>
      <c r="D950" s="2" t="s">
        <v>495</v>
      </c>
      <c r="E950" s="2">
        <v>3</v>
      </c>
      <c r="F950" s="2">
        <v>11598</v>
      </c>
      <c r="G950" s="2" t="s">
        <v>565</v>
      </c>
      <c r="H950" s="2" t="str">
        <f t="shared" si="14"/>
        <v>("ORD-00949","2025-04-01","SPO-ACC-156","CX-033",3,11598,"NetBanking"),</v>
      </c>
      <c r="N950" s="2"/>
      <c r="P950" s="4"/>
    </row>
    <row r="951" spans="1:16" x14ac:dyDescent="0.3">
      <c r="A951" s="2" t="s">
        <v>1516</v>
      </c>
      <c r="B951" s="5" t="s">
        <v>1865</v>
      </c>
      <c r="C951" s="2" t="s">
        <v>42</v>
      </c>
      <c r="D951" s="2" t="s">
        <v>499</v>
      </c>
      <c r="E951" s="2">
        <v>3</v>
      </c>
      <c r="F951" s="2">
        <v>89043</v>
      </c>
      <c r="G951" s="2" t="s">
        <v>570</v>
      </c>
      <c r="H951" s="2" t="str">
        <f t="shared" si="14"/>
        <v>("ORD-00950","2025-02-06","FAS-MEN-041","CX-031",3,89043,"UPI"),</v>
      </c>
      <c r="N951" s="2"/>
      <c r="P951" s="4"/>
    </row>
    <row r="952" spans="1:16" x14ac:dyDescent="0.3">
      <c r="A952" s="2" t="s">
        <v>1517</v>
      </c>
      <c r="B952" s="5" t="s">
        <v>1796</v>
      </c>
      <c r="C952" s="2" t="s">
        <v>137</v>
      </c>
      <c r="D952" s="2" t="s">
        <v>522</v>
      </c>
      <c r="E952" s="2">
        <v>3</v>
      </c>
      <c r="F952" s="2">
        <v>56673</v>
      </c>
      <c r="G952" s="2" t="s">
        <v>570</v>
      </c>
      <c r="H952" s="2" t="str">
        <f t="shared" si="14"/>
        <v>("ORD-00951","2025-11-17","SPO-OUT-136","CX-019",3,56673,"UPI"),</v>
      </c>
      <c r="N952" s="2"/>
      <c r="P952" s="4"/>
    </row>
    <row r="953" spans="1:16" x14ac:dyDescent="0.3">
      <c r="A953" s="2" t="s">
        <v>1518</v>
      </c>
      <c r="B953" s="5" t="s">
        <v>1897</v>
      </c>
      <c r="C953" s="2" t="s">
        <v>110</v>
      </c>
      <c r="D953" s="2" t="s">
        <v>483</v>
      </c>
      <c r="E953" s="2">
        <v>5</v>
      </c>
      <c r="F953" s="2">
        <v>155570</v>
      </c>
      <c r="G953" s="2" t="s">
        <v>567</v>
      </c>
      <c r="H953" s="2" t="str">
        <f t="shared" si="14"/>
        <v>("ORD-00952","2025-02-03","HOM-APP-109","CX-040",5,155570,"Wallet"),</v>
      </c>
      <c r="N953" s="2"/>
      <c r="P953" s="4"/>
    </row>
    <row r="954" spans="1:16" x14ac:dyDescent="0.3">
      <c r="A954" s="2" t="s">
        <v>1519</v>
      </c>
      <c r="B954" s="5" t="s">
        <v>1660</v>
      </c>
      <c r="C954" s="2" t="s">
        <v>150</v>
      </c>
      <c r="D954" s="2" t="s">
        <v>522</v>
      </c>
      <c r="E954" s="2">
        <v>2</v>
      </c>
      <c r="F954" s="2">
        <v>117786</v>
      </c>
      <c r="G954" s="2" t="s">
        <v>567</v>
      </c>
      <c r="H954" s="2" t="str">
        <f t="shared" si="14"/>
        <v>("ORD-00953","2024-12-06","SPO-IND-149","CX-019",2,117786,"Wallet"),</v>
      </c>
      <c r="N954" s="2"/>
      <c r="P954" s="4"/>
    </row>
    <row r="955" spans="1:16" x14ac:dyDescent="0.3">
      <c r="A955" s="2" t="s">
        <v>1520</v>
      </c>
      <c r="B955" s="5" t="s">
        <v>1599</v>
      </c>
      <c r="C955" s="2" t="s">
        <v>90</v>
      </c>
      <c r="D955" s="2" t="s">
        <v>352</v>
      </c>
      <c r="E955" s="2">
        <v>5</v>
      </c>
      <c r="F955" s="2">
        <v>275355</v>
      </c>
      <c r="G955" s="2" t="s">
        <v>565</v>
      </c>
      <c r="H955" s="2" t="str">
        <f t="shared" si="14"/>
        <v>("ORD-00954","2025-05-26","HOM-KIT-089","CX-108",5,275355,"NetBanking"),</v>
      </c>
      <c r="N955" s="2"/>
      <c r="P955" s="4"/>
    </row>
    <row r="956" spans="1:16" x14ac:dyDescent="0.3">
      <c r="A956" s="2" t="s">
        <v>1521</v>
      </c>
      <c r="B956" s="5" t="s">
        <v>1818</v>
      </c>
      <c r="C956" s="2" t="s">
        <v>95</v>
      </c>
      <c r="D956" s="2" t="s">
        <v>497</v>
      </c>
      <c r="E956" s="2">
        <v>1</v>
      </c>
      <c r="F956" s="2">
        <v>58084</v>
      </c>
      <c r="G956" s="2" t="s">
        <v>567</v>
      </c>
      <c r="H956" s="2" t="str">
        <f t="shared" si="14"/>
        <v>("ORD-00955","2025-09-21","HOM-DEC-094","CX-032",1,58084,"Wallet"),</v>
      </c>
      <c r="N956" s="2"/>
      <c r="P956" s="4"/>
    </row>
    <row r="957" spans="1:16" x14ac:dyDescent="0.3">
      <c r="A957" s="2" t="s">
        <v>1522</v>
      </c>
      <c r="B957" s="5" t="s">
        <v>1858</v>
      </c>
      <c r="C957" s="2" t="s">
        <v>145</v>
      </c>
      <c r="D957" s="2" t="s">
        <v>337</v>
      </c>
      <c r="E957" s="2">
        <v>5</v>
      </c>
      <c r="F957" s="2">
        <v>165850</v>
      </c>
      <c r="G957" s="2" t="s">
        <v>572</v>
      </c>
      <c r="H957" s="2" t="str">
        <f t="shared" si="14"/>
        <v>("ORD-00956","2025-03-21","SPO-IND-144","CX-114",5,165850,"Card"),</v>
      </c>
      <c r="N957" s="2"/>
      <c r="P957" s="4"/>
    </row>
    <row r="958" spans="1:16" x14ac:dyDescent="0.3">
      <c r="A958" s="2" t="s">
        <v>1523</v>
      </c>
      <c r="B958" s="5" t="s">
        <v>1905</v>
      </c>
      <c r="C958" s="2" t="s">
        <v>171</v>
      </c>
      <c r="D958" s="2" t="s">
        <v>491</v>
      </c>
      <c r="E958" s="2">
        <v>4</v>
      </c>
      <c r="F958" s="2">
        <v>83428</v>
      </c>
      <c r="G958" s="2" t="s">
        <v>567</v>
      </c>
      <c r="H958" s="2" t="str">
        <f t="shared" si="14"/>
        <v>("ORD-00957","2025-01-14","BEA-SKI-170","CX-035",4,83428,"Wallet"),</v>
      </c>
      <c r="N958" s="2"/>
      <c r="P958" s="4"/>
    </row>
    <row r="959" spans="1:16" x14ac:dyDescent="0.3">
      <c r="A959" s="2" t="s">
        <v>1524</v>
      </c>
      <c r="B959" s="5" t="s">
        <v>1797</v>
      </c>
      <c r="C959" s="2" t="s">
        <v>160</v>
      </c>
      <c r="D959" s="2" t="s">
        <v>437</v>
      </c>
      <c r="E959" s="2">
        <v>4</v>
      </c>
      <c r="F959" s="2">
        <v>1404</v>
      </c>
      <c r="G959" s="2" t="s">
        <v>565</v>
      </c>
      <c r="H959" s="2" t="str">
        <f t="shared" si="14"/>
        <v>("ORD-00958","2025-06-30","SPO-ACC-159","CX-064",4,1404,"NetBanking"),</v>
      </c>
      <c r="N959" s="2"/>
      <c r="P959" s="4"/>
    </row>
    <row r="960" spans="1:16" x14ac:dyDescent="0.3">
      <c r="A960" s="2" t="s">
        <v>1525</v>
      </c>
      <c r="B960" s="5" t="s">
        <v>1675</v>
      </c>
      <c r="C960" s="2" t="s">
        <v>32</v>
      </c>
      <c r="D960" s="2" t="s">
        <v>328</v>
      </c>
      <c r="E960" s="2">
        <v>4</v>
      </c>
      <c r="F960" s="2">
        <v>76964</v>
      </c>
      <c r="G960" s="2" t="s">
        <v>567</v>
      </c>
      <c r="H960" s="2" t="str">
        <f t="shared" si="14"/>
        <v>("ORD-00959","2025-09-26","ELE-CAM-031","CX-117",4,76964,"Wallet"),</v>
      </c>
      <c r="N960" s="2"/>
      <c r="P960" s="4"/>
    </row>
    <row r="961" spans="1:16" x14ac:dyDescent="0.3">
      <c r="A961" s="2" t="s">
        <v>1526</v>
      </c>
      <c r="B961" s="5" t="s">
        <v>1695</v>
      </c>
      <c r="C961" s="2" t="s">
        <v>189</v>
      </c>
      <c r="D961" s="2" t="s">
        <v>537</v>
      </c>
      <c r="E961" s="2">
        <v>3</v>
      </c>
      <c r="F961" s="2">
        <v>46506</v>
      </c>
      <c r="G961" s="2" t="s">
        <v>570</v>
      </c>
      <c r="H961" s="2" t="str">
        <f t="shared" si="14"/>
        <v>("ORD-00960","2025-07-23","BEA-MAK-188","CX-011",3,46506,"UPI"),</v>
      </c>
      <c r="N961" s="2"/>
      <c r="P961" s="4"/>
    </row>
    <row r="962" spans="1:16" x14ac:dyDescent="0.3">
      <c r="A962" s="2" t="s">
        <v>1527</v>
      </c>
      <c r="B962" s="5" t="s">
        <v>1793</v>
      </c>
      <c r="C962" s="2" t="s">
        <v>76</v>
      </c>
      <c r="D962" s="2" t="s">
        <v>370</v>
      </c>
      <c r="E962" s="2">
        <v>4</v>
      </c>
      <c r="F962" s="2">
        <v>195128</v>
      </c>
      <c r="G962" s="2" t="s">
        <v>570</v>
      </c>
      <c r="H962" s="2" t="str">
        <f t="shared" si="14"/>
        <v>("ORD-00961","2025-09-06","FAS-FOO-075","CX-099",4,195128,"UPI"),</v>
      </c>
      <c r="N962" s="2"/>
      <c r="P962" s="4"/>
    </row>
    <row r="963" spans="1:16" x14ac:dyDescent="0.3">
      <c r="A963" s="2" t="s">
        <v>1528</v>
      </c>
      <c r="B963" s="5" t="s">
        <v>1609</v>
      </c>
      <c r="C963" s="2" t="s">
        <v>18</v>
      </c>
      <c r="D963" s="2" t="s">
        <v>531</v>
      </c>
      <c r="E963" s="2">
        <v>1</v>
      </c>
      <c r="F963" s="2">
        <v>38581</v>
      </c>
      <c r="G963" s="2" t="s">
        <v>565</v>
      </c>
      <c r="H963" s="2" t="str">
        <f t="shared" ref="H963:H1001" si="15">"("""&amp;A963&amp;""","""&amp;B963&amp;""","""&amp;C963&amp;""","""&amp;D963&amp;""","&amp;E963&amp;","&amp;F963&amp;","""&amp;G963&amp;"""),"</f>
        <v>("ORD-00962","2025-10-06","ELE-LAP-017","CX-014",1,38581,"NetBanking"),</v>
      </c>
      <c r="N963" s="2"/>
      <c r="P963" s="4"/>
    </row>
    <row r="964" spans="1:16" x14ac:dyDescent="0.3">
      <c r="A964" s="2" t="s">
        <v>1529</v>
      </c>
      <c r="B964" s="5" t="s">
        <v>1589</v>
      </c>
      <c r="C964" s="2" t="s">
        <v>36</v>
      </c>
      <c r="D964" s="2" t="s">
        <v>387</v>
      </c>
      <c r="E964" s="2">
        <v>4</v>
      </c>
      <c r="F964" s="2">
        <v>98968</v>
      </c>
      <c r="G964" s="2" t="s">
        <v>572</v>
      </c>
      <c r="H964" s="2" t="str">
        <f t="shared" si="15"/>
        <v>("ORD-00963","2025-01-23","ELE-CAM-035","CX-091",4,98968,"Card"),</v>
      </c>
      <c r="N964" s="2"/>
      <c r="P964" s="4"/>
    </row>
    <row r="965" spans="1:16" x14ac:dyDescent="0.3">
      <c r="A965" s="2" t="s">
        <v>1530</v>
      </c>
      <c r="B965" s="5" t="s">
        <v>1726</v>
      </c>
      <c r="C965" s="2" t="s">
        <v>188</v>
      </c>
      <c r="D965" s="2" t="s">
        <v>405</v>
      </c>
      <c r="E965" s="2">
        <v>1</v>
      </c>
      <c r="F965" s="2">
        <v>34519</v>
      </c>
      <c r="G965" s="2" t="s">
        <v>563</v>
      </c>
      <c r="H965" s="2" t="str">
        <f t="shared" si="15"/>
        <v>("ORD-00964","2025-09-25","BEA-MAK-187","CX-082",1,34519,"Cash"),</v>
      </c>
      <c r="N965" s="2"/>
      <c r="P965" s="4"/>
    </row>
    <row r="966" spans="1:16" x14ac:dyDescent="0.3">
      <c r="A966" s="2" t="s">
        <v>1531</v>
      </c>
      <c r="B966" s="5" t="s">
        <v>1792</v>
      </c>
      <c r="C966" s="2" t="s">
        <v>24</v>
      </c>
      <c r="D966" s="2" t="s">
        <v>513</v>
      </c>
      <c r="E966" s="2">
        <v>3</v>
      </c>
      <c r="F966" s="2">
        <v>121827</v>
      </c>
      <c r="G966" s="2" t="s">
        <v>565</v>
      </c>
      <c r="H966" s="2" t="str">
        <f t="shared" si="15"/>
        <v>("ORD-00965","2025-06-20","ELE-ACC-023","CX-024",3,121827,"NetBanking"),</v>
      </c>
      <c r="N966" s="2"/>
      <c r="P966" s="4"/>
    </row>
    <row r="967" spans="1:16" x14ac:dyDescent="0.3">
      <c r="A967" s="2" t="s">
        <v>1532</v>
      </c>
      <c r="B967" s="5" t="s">
        <v>1577</v>
      </c>
      <c r="C967" s="2" t="s">
        <v>198</v>
      </c>
      <c r="D967" s="2" t="s">
        <v>437</v>
      </c>
      <c r="E967" s="2">
        <v>4</v>
      </c>
      <c r="F967" s="2">
        <v>163400</v>
      </c>
      <c r="G967" s="2" t="s">
        <v>567</v>
      </c>
      <c r="H967" s="2" t="str">
        <f t="shared" si="15"/>
        <v>("ORD-00966","2025-03-25","BEA-FRA-197","CX-064",4,163400,"Wallet"),</v>
      </c>
      <c r="N967" s="2"/>
      <c r="P967" s="4"/>
    </row>
    <row r="968" spans="1:16" x14ac:dyDescent="0.3">
      <c r="A968" s="2" t="s">
        <v>1533</v>
      </c>
      <c r="B968" s="5" t="s">
        <v>1840</v>
      </c>
      <c r="C968" s="2" t="s">
        <v>6</v>
      </c>
      <c r="D968" s="2" t="s">
        <v>518</v>
      </c>
      <c r="E968" s="2">
        <v>1</v>
      </c>
      <c r="F968" s="2">
        <v>16313</v>
      </c>
      <c r="G968" s="2" t="s">
        <v>570</v>
      </c>
      <c r="H968" s="2" t="str">
        <f t="shared" si="15"/>
        <v>("ORD-00967","2024-12-12","ELE-MOB-005","CX-021",1,16313,"UPI"),</v>
      </c>
      <c r="N968" s="2"/>
      <c r="P968" s="4"/>
    </row>
    <row r="969" spans="1:16" x14ac:dyDescent="0.3">
      <c r="A969" s="2" t="s">
        <v>1534</v>
      </c>
      <c r="B969" s="5" t="s">
        <v>1689</v>
      </c>
      <c r="C969" s="2" t="s">
        <v>26</v>
      </c>
      <c r="D969" s="2" t="s">
        <v>424</v>
      </c>
      <c r="E969" s="2">
        <v>4</v>
      </c>
      <c r="F969" s="2">
        <v>116712</v>
      </c>
      <c r="G969" s="2" t="s">
        <v>567</v>
      </c>
      <c r="H969" s="2" t="str">
        <f t="shared" si="15"/>
        <v>("ORD-00968","2024-12-16","ELE-ACC-025","CX-072",4,116712,"Wallet"),</v>
      </c>
      <c r="N969" s="2"/>
      <c r="P969" s="4"/>
    </row>
    <row r="970" spans="1:16" x14ac:dyDescent="0.3">
      <c r="A970" s="2" t="s">
        <v>1535</v>
      </c>
      <c r="B970" s="5" t="s">
        <v>1692</v>
      </c>
      <c r="C970" s="2" t="s">
        <v>28</v>
      </c>
      <c r="D970" s="2" t="s">
        <v>445</v>
      </c>
      <c r="E970" s="2">
        <v>2</v>
      </c>
      <c r="F970" s="2">
        <v>64874</v>
      </c>
      <c r="G970" s="2" t="s">
        <v>572</v>
      </c>
      <c r="H970" s="2" t="str">
        <f t="shared" si="15"/>
        <v>("ORD-00969","2025-02-15","ELE-ACC-027","CX-060",2,64874,"Card"),</v>
      </c>
      <c r="N970" s="2"/>
      <c r="P970" s="4"/>
    </row>
    <row r="971" spans="1:16" x14ac:dyDescent="0.3">
      <c r="A971" s="2" t="s">
        <v>1536</v>
      </c>
      <c r="B971" s="5" t="s">
        <v>1860</v>
      </c>
      <c r="C971" s="2" t="s">
        <v>159</v>
      </c>
      <c r="D971" s="2" t="s">
        <v>364</v>
      </c>
      <c r="E971" s="2">
        <v>1</v>
      </c>
      <c r="F971" s="2">
        <v>34426</v>
      </c>
      <c r="G971" s="2" t="s">
        <v>567</v>
      </c>
      <c r="H971" s="2" t="str">
        <f t="shared" si="15"/>
        <v>("ORD-00970","2025-07-20","SPO-ACC-158","CX-102",1,34426,"Wallet"),</v>
      </c>
      <c r="N971" s="2"/>
      <c r="P971" s="4"/>
    </row>
    <row r="972" spans="1:16" x14ac:dyDescent="0.3">
      <c r="A972" s="2" t="s">
        <v>1537</v>
      </c>
      <c r="B972" s="5" t="s">
        <v>1851</v>
      </c>
      <c r="C972" s="2" t="s">
        <v>43</v>
      </c>
      <c r="D972" s="2" t="s">
        <v>542</v>
      </c>
      <c r="E972" s="2">
        <v>5</v>
      </c>
      <c r="F972" s="2">
        <v>244075</v>
      </c>
      <c r="G972" s="2" t="s">
        <v>565</v>
      </c>
      <c r="H972" s="2" t="str">
        <f t="shared" si="15"/>
        <v>("ORD-00971","2025-05-25","FAS-MEN-042","CX-008",5,244075,"NetBanking"),</v>
      </c>
      <c r="N972" s="2"/>
      <c r="P972" s="4"/>
    </row>
    <row r="973" spans="1:16" x14ac:dyDescent="0.3">
      <c r="A973" s="2" t="s">
        <v>1538</v>
      </c>
      <c r="B973" s="5" t="s">
        <v>1711</v>
      </c>
      <c r="C973" s="2" t="s">
        <v>43</v>
      </c>
      <c r="D973" s="2" t="s">
        <v>360</v>
      </c>
      <c r="E973" s="2">
        <v>3</v>
      </c>
      <c r="F973" s="2">
        <v>146445</v>
      </c>
      <c r="G973" s="2" t="s">
        <v>572</v>
      </c>
      <c r="H973" s="2" t="str">
        <f t="shared" si="15"/>
        <v>("ORD-00972","2025-11-14","FAS-MEN-042","CX-104",3,146445,"Card"),</v>
      </c>
      <c r="N973" s="2"/>
      <c r="P973" s="4"/>
    </row>
    <row r="974" spans="1:16" x14ac:dyDescent="0.3">
      <c r="A974" s="2" t="s">
        <v>1539</v>
      </c>
      <c r="B974" s="5" t="s">
        <v>1702</v>
      </c>
      <c r="C974" s="2" t="s">
        <v>117</v>
      </c>
      <c r="D974" s="2" t="s">
        <v>495</v>
      </c>
      <c r="E974" s="2">
        <v>5</v>
      </c>
      <c r="F974" s="2">
        <v>283935</v>
      </c>
      <c r="G974" s="2" t="s">
        <v>567</v>
      </c>
      <c r="H974" s="2" t="str">
        <f t="shared" si="15"/>
        <v>("ORD-00973","2025-04-08","HOM-FUR-116","CX-033",5,283935,"Wallet"),</v>
      </c>
      <c r="N974" s="2"/>
      <c r="P974" s="4"/>
    </row>
    <row r="975" spans="1:16" x14ac:dyDescent="0.3">
      <c r="A975" s="2" t="s">
        <v>1540</v>
      </c>
      <c r="B975" s="5" t="s">
        <v>1863</v>
      </c>
      <c r="C975" s="2" t="s">
        <v>140</v>
      </c>
      <c r="D975" s="2" t="s">
        <v>436</v>
      </c>
      <c r="E975" s="2">
        <v>5</v>
      </c>
      <c r="F975" s="2">
        <v>89380</v>
      </c>
      <c r="G975" s="2" t="s">
        <v>565</v>
      </c>
      <c r="H975" s="2" t="str">
        <f t="shared" si="15"/>
        <v>("ORD-00974","2025-11-21","SPO-OUT-139","CX-065",5,89380,"NetBanking"),</v>
      </c>
      <c r="N975" s="2"/>
      <c r="P975" s="4"/>
    </row>
    <row r="976" spans="1:16" x14ac:dyDescent="0.3">
      <c r="A976" s="2" t="s">
        <v>1541</v>
      </c>
      <c r="B976" s="5" t="s">
        <v>1890</v>
      </c>
      <c r="C976" s="2" t="s">
        <v>77</v>
      </c>
      <c r="D976" s="2" t="s">
        <v>495</v>
      </c>
      <c r="E976" s="2">
        <v>3</v>
      </c>
      <c r="F976" s="2">
        <v>91365</v>
      </c>
      <c r="G976" s="2" t="s">
        <v>567</v>
      </c>
      <c r="H976" s="2" t="str">
        <f t="shared" si="15"/>
        <v>("ORD-00975","2025-04-17","FAS-FOO-076","CX-033",3,91365,"Wallet"),</v>
      </c>
      <c r="N976" s="2"/>
      <c r="P976" s="4"/>
    </row>
    <row r="977" spans="1:16" x14ac:dyDescent="0.3">
      <c r="A977" s="2" t="s">
        <v>1542</v>
      </c>
      <c r="B977" s="5" t="s">
        <v>1839</v>
      </c>
      <c r="C977" s="2" t="s">
        <v>46</v>
      </c>
      <c r="D977" s="2" t="s">
        <v>407</v>
      </c>
      <c r="E977" s="2">
        <v>4</v>
      </c>
      <c r="F977" s="2">
        <v>39012</v>
      </c>
      <c r="G977" s="2" t="s">
        <v>567</v>
      </c>
      <c r="H977" s="2" t="str">
        <f t="shared" si="15"/>
        <v>("ORD-00976","2025-05-03","FAS-MEN-045","CX-081",4,39012,"Wallet"),</v>
      </c>
      <c r="N977" s="2"/>
      <c r="P977" s="4"/>
    </row>
    <row r="978" spans="1:16" x14ac:dyDescent="0.3">
      <c r="A978" s="2" t="s">
        <v>1543</v>
      </c>
      <c r="B978" s="5" t="s">
        <v>1906</v>
      </c>
      <c r="C978" s="2" t="s">
        <v>107</v>
      </c>
      <c r="D978" s="2" t="s">
        <v>462</v>
      </c>
      <c r="E978" s="2">
        <v>4</v>
      </c>
      <c r="F978" s="2">
        <v>42960</v>
      </c>
      <c r="G978" s="2" t="s">
        <v>572</v>
      </c>
      <c r="H978" s="2" t="str">
        <f t="shared" si="15"/>
        <v>("ORD-00977","2025-04-09","HOM-APP-106","CX-051",4,42960,"Card"),</v>
      </c>
      <c r="N978" s="2"/>
      <c r="P978" s="4"/>
    </row>
    <row r="979" spans="1:16" x14ac:dyDescent="0.3">
      <c r="A979" s="2" t="s">
        <v>1544</v>
      </c>
      <c r="B979" s="5" t="s">
        <v>1780</v>
      </c>
      <c r="C979" s="2" t="s">
        <v>150</v>
      </c>
      <c r="D979" s="2" t="s">
        <v>414</v>
      </c>
      <c r="E979" s="2">
        <v>4</v>
      </c>
      <c r="F979" s="2">
        <v>235572</v>
      </c>
      <c r="G979" s="2" t="s">
        <v>572</v>
      </c>
      <c r="H979" s="2" t="str">
        <f t="shared" si="15"/>
        <v>("ORD-00978","2025-05-09","SPO-IND-149","CX-077",4,235572,"Card"),</v>
      </c>
      <c r="N979" s="2"/>
      <c r="P979" s="4"/>
    </row>
    <row r="980" spans="1:16" x14ac:dyDescent="0.3">
      <c r="A980" s="2" t="s">
        <v>1545</v>
      </c>
      <c r="B980" s="5" t="s">
        <v>1877</v>
      </c>
      <c r="C980" s="2" t="s">
        <v>112</v>
      </c>
      <c r="D980" s="2" t="s">
        <v>462</v>
      </c>
      <c r="E980" s="2">
        <v>2</v>
      </c>
      <c r="F980" s="2">
        <v>111800</v>
      </c>
      <c r="G980" s="2" t="s">
        <v>570</v>
      </c>
      <c r="H980" s="2" t="str">
        <f t="shared" si="15"/>
        <v>("ORD-00979","2024-12-23","HOM-FUR-111","CX-051",2,111800,"UPI"),</v>
      </c>
      <c r="N980" s="2"/>
      <c r="P980" s="4"/>
    </row>
    <row r="981" spans="1:16" x14ac:dyDescent="0.3">
      <c r="A981" s="2" t="s">
        <v>1546</v>
      </c>
      <c r="B981" s="5" t="s">
        <v>1844</v>
      </c>
      <c r="C981" s="2" t="s">
        <v>145</v>
      </c>
      <c r="D981" s="2" t="s">
        <v>389</v>
      </c>
      <c r="E981" s="2">
        <v>5</v>
      </c>
      <c r="F981" s="2">
        <v>165850</v>
      </c>
      <c r="G981" s="2" t="s">
        <v>565</v>
      </c>
      <c r="H981" s="2" t="str">
        <f t="shared" si="15"/>
        <v>("ORD-00980","2025-09-22","SPO-IND-144","CX-090",5,165850,"NetBanking"),</v>
      </c>
      <c r="N981" s="2"/>
      <c r="P981" s="4"/>
    </row>
    <row r="982" spans="1:16" x14ac:dyDescent="0.3">
      <c r="A982" s="2" t="s">
        <v>1547</v>
      </c>
      <c r="B982" s="5" t="s">
        <v>1784</v>
      </c>
      <c r="C982" s="2" t="s">
        <v>190</v>
      </c>
      <c r="D982" s="2" t="s">
        <v>454</v>
      </c>
      <c r="E982" s="2">
        <v>2</v>
      </c>
      <c r="F982" s="2">
        <v>15786</v>
      </c>
      <c r="G982" s="2" t="s">
        <v>567</v>
      </c>
      <c r="H982" s="2" t="str">
        <f t="shared" si="15"/>
        <v>("ORD-00981","2025-04-27","BEA-MAK-189","CX-055",2,15786,"Wallet"),</v>
      </c>
      <c r="N982" s="2"/>
      <c r="P982" s="4"/>
    </row>
    <row r="983" spans="1:16" x14ac:dyDescent="0.3">
      <c r="A983" s="2" t="s">
        <v>1548</v>
      </c>
      <c r="B983" s="5" t="s">
        <v>1762</v>
      </c>
      <c r="C983" s="2" t="s">
        <v>190</v>
      </c>
      <c r="D983" s="2" t="s">
        <v>531</v>
      </c>
      <c r="E983" s="2">
        <v>1</v>
      </c>
      <c r="F983" s="2">
        <v>7893</v>
      </c>
      <c r="G983" s="2" t="s">
        <v>567</v>
      </c>
      <c r="H983" s="2" t="str">
        <f t="shared" si="15"/>
        <v>("ORD-00982","2025-10-17","BEA-MAK-189","CX-014",1,7893,"Wallet"),</v>
      </c>
      <c r="N983" s="2"/>
      <c r="P983" s="4"/>
    </row>
    <row r="984" spans="1:16" x14ac:dyDescent="0.3">
      <c r="A984" s="2" t="s">
        <v>1549</v>
      </c>
      <c r="B984" s="5" t="s">
        <v>1890</v>
      </c>
      <c r="C984" s="2" t="s">
        <v>5</v>
      </c>
      <c r="D984" s="2" t="s">
        <v>433</v>
      </c>
      <c r="E984" s="2">
        <v>1</v>
      </c>
      <c r="F984" s="2">
        <v>43182</v>
      </c>
      <c r="G984" s="2" t="s">
        <v>567</v>
      </c>
      <c r="H984" s="2" t="str">
        <f t="shared" si="15"/>
        <v>("ORD-00983","2025-04-17","ELE-MOB-004","CX-067",1,43182,"Wallet"),</v>
      </c>
      <c r="N984" s="2"/>
      <c r="P984" s="4"/>
    </row>
    <row r="985" spans="1:16" x14ac:dyDescent="0.3">
      <c r="A985" s="2" t="s">
        <v>1550</v>
      </c>
      <c r="B985" s="5" t="s">
        <v>1725</v>
      </c>
      <c r="C985" s="2" t="s">
        <v>150</v>
      </c>
      <c r="D985" s="2" t="s">
        <v>505</v>
      </c>
      <c r="E985" s="2">
        <v>1</v>
      </c>
      <c r="F985" s="2">
        <v>58893</v>
      </c>
      <c r="G985" s="2" t="s">
        <v>567</v>
      </c>
      <c r="H985" s="2" t="str">
        <f t="shared" si="15"/>
        <v>("ORD-00984","2025-11-16","SPO-IND-149","CX-028",1,58893,"Wallet"),</v>
      </c>
      <c r="N985" s="2"/>
      <c r="P985" s="4"/>
    </row>
    <row r="986" spans="1:16" x14ac:dyDescent="0.3">
      <c r="A986" s="2" t="s">
        <v>1551</v>
      </c>
      <c r="B986" s="5" t="s">
        <v>1884</v>
      </c>
      <c r="C986" s="2" t="s">
        <v>177</v>
      </c>
      <c r="D986" s="2" t="s">
        <v>525</v>
      </c>
      <c r="E986" s="2">
        <v>2</v>
      </c>
      <c r="F986" s="2">
        <v>25274</v>
      </c>
      <c r="G986" s="2" t="s">
        <v>565</v>
      </c>
      <c r="H986" s="2" t="str">
        <f t="shared" si="15"/>
        <v>("ORD-00985","2025-04-28","BEA-HAI-176","CX-017",2,25274,"NetBanking"),</v>
      </c>
      <c r="N986" s="2"/>
      <c r="P986" s="4"/>
    </row>
    <row r="987" spans="1:16" x14ac:dyDescent="0.3">
      <c r="A987" s="2" t="s">
        <v>1552</v>
      </c>
      <c r="B987" s="5" t="s">
        <v>1782</v>
      </c>
      <c r="C987" s="2" t="s">
        <v>35</v>
      </c>
      <c r="D987" s="2" t="s">
        <v>517</v>
      </c>
      <c r="E987" s="2">
        <v>3</v>
      </c>
      <c r="F987" s="2">
        <v>177837</v>
      </c>
      <c r="G987" s="2" t="s">
        <v>563</v>
      </c>
      <c r="H987" s="2" t="str">
        <f t="shared" si="15"/>
        <v>("ORD-00986","2025-11-28","ELE-CAM-034","CX-022",3,177837,"Cash"),</v>
      </c>
      <c r="N987" s="2"/>
      <c r="P987" s="4"/>
    </row>
    <row r="988" spans="1:16" x14ac:dyDescent="0.3">
      <c r="A988" s="2" t="s">
        <v>1553</v>
      </c>
      <c r="B988" s="5" t="s">
        <v>1740</v>
      </c>
      <c r="C988" s="2" t="s">
        <v>193</v>
      </c>
      <c r="D988" s="2" t="s">
        <v>452</v>
      </c>
      <c r="E988" s="2">
        <v>5</v>
      </c>
      <c r="F988" s="2">
        <v>181955</v>
      </c>
      <c r="G988" s="2" t="s">
        <v>570</v>
      </c>
      <c r="H988" s="2" t="str">
        <f t="shared" si="15"/>
        <v>("ORD-00987","2025-07-17","BEA-FRA-192","CX-056",5,181955,"UPI"),</v>
      </c>
      <c r="N988" s="2"/>
      <c r="P988" s="4"/>
    </row>
    <row r="989" spans="1:16" x14ac:dyDescent="0.3">
      <c r="A989" s="2" t="s">
        <v>1554</v>
      </c>
      <c r="B989" s="5" t="s">
        <v>1833</v>
      </c>
      <c r="C989" s="2" t="s">
        <v>89</v>
      </c>
      <c r="D989" s="2" t="s">
        <v>464</v>
      </c>
      <c r="E989" s="2">
        <v>3</v>
      </c>
      <c r="F989" s="2">
        <v>83175</v>
      </c>
      <c r="G989" s="2" t="s">
        <v>572</v>
      </c>
      <c r="H989" s="2" t="str">
        <f t="shared" si="15"/>
        <v>("ORD-00988","2025-11-13","HOM-KIT-088","CX-050",3,83175,"Card"),</v>
      </c>
      <c r="N989" s="2"/>
      <c r="P989" s="4"/>
    </row>
    <row r="990" spans="1:16" x14ac:dyDescent="0.3">
      <c r="A990" s="2" t="s">
        <v>1555</v>
      </c>
      <c r="B990" s="5" t="s">
        <v>1616</v>
      </c>
      <c r="C990" s="2" t="s">
        <v>135</v>
      </c>
      <c r="D990" s="2" t="s">
        <v>518</v>
      </c>
      <c r="E990" s="2">
        <v>3</v>
      </c>
      <c r="F990" s="2">
        <v>178392</v>
      </c>
      <c r="G990" s="2" t="s">
        <v>572</v>
      </c>
      <c r="H990" s="2" t="str">
        <f t="shared" si="15"/>
        <v>("ORD-00989","2025-10-09","SPO-OUT-134","CX-021",3,178392,"Card"),</v>
      </c>
      <c r="N990" s="2"/>
      <c r="P990" s="4"/>
    </row>
    <row r="991" spans="1:16" x14ac:dyDescent="0.3">
      <c r="A991" s="2" t="s">
        <v>1556</v>
      </c>
      <c r="B991" s="5" t="s">
        <v>1875</v>
      </c>
      <c r="C991" s="2" t="s">
        <v>131</v>
      </c>
      <c r="D991" s="2" t="s">
        <v>431</v>
      </c>
      <c r="E991" s="2">
        <v>3</v>
      </c>
      <c r="F991" s="2">
        <v>30639</v>
      </c>
      <c r="G991" s="2" t="s">
        <v>572</v>
      </c>
      <c r="H991" s="2" t="str">
        <f t="shared" si="15"/>
        <v>("ORD-00990","2025-10-26","SPO-FIT-130","CX-068",3,30639,"Card"),</v>
      </c>
      <c r="N991" s="2"/>
      <c r="P991" s="4"/>
    </row>
    <row r="992" spans="1:16" x14ac:dyDescent="0.3">
      <c r="A992" s="2" t="s">
        <v>1557</v>
      </c>
      <c r="B992" s="5" t="s">
        <v>1634</v>
      </c>
      <c r="C992" s="2" t="s">
        <v>167</v>
      </c>
      <c r="D992" s="2" t="s">
        <v>368</v>
      </c>
      <c r="E992" s="2">
        <v>1</v>
      </c>
      <c r="F992" s="2">
        <v>33897</v>
      </c>
      <c r="G992" s="2" t="s">
        <v>570</v>
      </c>
      <c r="H992" s="2" t="str">
        <f t="shared" si="15"/>
        <v>("ORD-00991","2025-01-12","BEA-SKI-166","CX-100",1,33897,"UPI"),</v>
      </c>
      <c r="N992" s="2"/>
      <c r="P992" s="4"/>
    </row>
    <row r="993" spans="1:16" x14ac:dyDescent="0.3">
      <c r="A993" s="2" t="s">
        <v>1558</v>
      </c>
      <c r="B993" s="5" t="s">
        <v>1782</v>
      </c>
      <c r="C993" s="2" t="s">
        <v>48</v>
      </c>
      <c r="D993" s="2" t="s">
        <v>486</v>
      </c>
      <c r="E993" s="2">
        <v>2</v>
      </c>
      <c r="F993" s="2">
        <v>95070</v>
      </c>
      <c r="G993" s="2" t="s">
        <v>570</v>
      </c>
      <c r="H993" s="2" t="str">
        <f t="shared" si="15"/>
        <v>("ORD-00992","2025-11-28","FAS-MEN-047","CX-038",2,95070,"UPI"),</v>
      </c>
      <c r="N993" s="2"/>
      <c r="P993" s="4"/>
    </row>
    <row r="994" spans="1:16" x14ac:dyDescent="0.3">
      <c r="A994" s="2" t="s">
        <v>1559</v>
      </c>
      <c r="B994" s="5" t="s">
        <v>1907</v>
      </c>
      <c r="C994" s="2" t="s">
        <v>54</v>
      </c>
      <c r="D994" s="2" t="s">
        <v>337</v>
      </c>
      <c r="E994" s="2">
        <v>5</v>
      </c>
      <c r="F994" s="2">
        <v>40260</v>
      </c>
      <c r="G994" s="2" t="s">
        <v>570</v>
      </c>
      <c r="H994" s="2" t="str">
        <f t="shared" si="15"/>
        <v>("ORD-00993","2025-11-24","FAS-WOM-053","CX-114",5,40260,"UPI"),</v>
      </c>
      <c r="N994" s="2"/>
      <c r="P994" s="4"/>
    </row>
    <row r="995" spans="1:16" x14ac:dyDescent="0.3">
      <c r="A995" s="2" t="s">
        <v>1560</v>
      </c>
      <c r="B995" s="5" t="s">
        <v>1836</v>
      </c>
      <c r="C995" s="2" t="s">
        <v>15</v>
      </c>
      <c r="D995" s="2" t="s">
        <v>424</v>
      </c>
      <c r="E995" s="2">
        <v>4</v>
      </c>
      <c r="F995" s="2">
        <v>163864</v>
      </c>
      <c r="G995" s="2" t="s">
        <v>572</v>
      </c>
      <c r="H995" s="2" t="str">
        <f t="shared" si="15"/>
        <v>("ORD-00994","2025-06-24","ELE-LAP-014","CX-072",4,163864,"Card"),</v>
      </c>
      <c r="N995" s="2"/>
      <c r="P995" s="4"/>
    </row>
    <row r="996" spans="1:16" x14ac:dyDescent="0.3">
      <c r="A996" s="2" t="s">
        <v>1561</v>
      </c>
      <c r="B996" s="5" t="s">
        <v>1692</v>
      </c>
      <c r="C996" s="2" t="s">
        <v>3</v>
      </c>
      <c r="D996" s="2" t="s">
        <v>465</v>
      </c>
      <c r="E996" s="2">
        <v>5</v>
      </c>
      <c r="F996" s="2">
        <v>72940</v>
      </c>
      <c r="G996" s="2" t="s">
        <v>570</v>
      </c>
      <c r="H996" s="2" t="str">
        <f t="shared" si="15"/>
        <v>("ORD-00995","2025-02-15","ELE-MOB-002","CX-049",5,72940,"UPI"),</v>
      </c>
      <c r="N996" s="2"/>
      <c r="P996" s="4"/>
    </row>
    <row r="997" spans="1:16" x14ac:dyDescent="0.3">
      <c r="A997" s="2" t="s">
        <v>1562</v>
      </c>
      <c r="B997" s="5" t="s">
        <v>1873</v>
      </c>
      <c r="C997" s="2" t="s">
        <v>98</v>
      </c>
      <c r="D997" s="2" t="s">
        <v>382</v>
      </c>
      <c r="E997" s="2">
        <v>2</v>
      </c>
      <c r="F997" s="2">
        <v>32722</v>
      </c>
      <c r="G997" s="2" t="s">
        <v>567</v>
      </c>
      <c r="H997" s="2" t="str">
        <f t="shared" si="15"/>
        <v>("ORD-00996","2025-08-08","HOM-DEC-097","CX-093",2,32722,"Wallet"),</v>
      </c>
      <c r="N997" s="2"/>
      <c r="P997" s="4"/>
    </row>
    <row r="998" spans="1:16" x14ac:dyDescent="0.3">
      <c r="A998" s="2" t="s">
        <v>1563</v>
      </c>
      <c r="B998" s="5" t="s">
        <v>1908</v>
      </c>
      <c r="C998" s="2" t="s">
        <v>161</v>
      </c>
      <c r="D998" s="2" t="s">
        <v>443</v>
      </c>
      <c r="E998" s="2">
        <v>3</v>
      </c>
      <c r="F998" s="2">
        <v>110505</v>
      </c>
      <c r="G998" s="2" t="s">
        <v>570</v>
      </c>
      <c r="H998" s="2" t="str">
        <f t="shared" si="15"/>
        <v>("ORD-00997","2025-02-11","SPO-ACC-160","CX-061",3,110505,"UPI"),</v>
      </c>
      <c r="N998" s="2"/>
      <c r="P998" s="4"/>
    </row>
    <row r="999" spans="1:16" x14ac:dyDescent="0.3">
      <c r="A999" s="2" t="s">
        <v>1564</v>
      </c>
      <c r="B999" s="5" t="s">
        <v>1669</v>
      </c>
      <c r="C999" s="2" t="s">
        <v>28</v>
      </c>
      <c r="D999" s="2" t="s">
        <v>348</v>
      </c>
      <c r="E999" s="2">
        <v>4</v>
      </c>
      <c r="F999" s="2">
        <v>129748</v>
      </c>
      <c r="G999" s="2" t="s">
        <v>570</v>
      </c>
      <c r="H999" s="2" t="str">
        <f t="shared" si="15"/>
        <v>("ORD-00998","2025-08-14","ELE-ACC-027","CX-110",4,129748,"UPI"),</v>
      </c>
      <c r="N999" s="2"/>
      <c r="P999" s="4"/>
    </row>
    <row r="1000" spans="1:16" x14ac:dyDescent="0.3">
      <c r="A1000" s="2" t="s">
        <v>1565</v>
      </c>
      <c r="B1000" s="5" t="s">
        <v>1575</v>
      </c>
      <c r="C1000" s="2" t="s">
        <v>10</v>
      </c>
      <c r="D1000" s="2" t="s">
        <v>515</v>
      </c>
      <c r="E1000" s="2">
        <v>4</v>
      </c>
      <c r="F1000" s="2">
        <v>211612</v>
      </c>
      <c r="G1000" s="2" t="s">
        <v>570</v>
      </c>
      <c r="H1000" s="2" t="str">
        <f t="shared" si="15"/>
        <v>("ORD-00999","2025-10-21","ELE-MOB-009","CX-023",4,211612,"UPI"),</v>
      </c>
      <c r="N1000" s="2"/>
      <c r="P1000" s="4"/>
    </row>
    <row r="1001" spans="1:16" x14ac:dyDescent="0.3">
      <c r="A1001" s="2" t="s">
        <v>1566</v>
      </c>
      <c r="B1001" s="5" t="s">
        <v>1656</v>
      </c>
      <c r="C1001" s="2" t="s">
        <v>188</v>
      </c>
      <c r="D1001" s="2" t="s">
        <v>372</v>
      </c>
      <c r="E1001" s="2">
        <v>3</v>
      </c>
      <c r="F1001" s="2">
        <v>103557</v>
      </c>
      <c r="G1001" s="2" t="s">
        <v>567</v>
      </c>
      <c r="H1001" s="2" t="str">
        <f t="shared" si="15"/>
        <v>("ORD-01000","2025-11-01","BEA-MAK-187","CX-098",3,103557,"Wallet"),</v>
      </c>
      <c r="N1001" s="2"/>
      <c r="P10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Customer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Knight</dc:creator>
  <cp:lastModifiedBy>Black Knight</cp:lastModifiedBy>
  <dcterms:created xsi:type="dcterms:W3CDTF">2025-11-29T10:28:01Z</dcterms:created>
  <dcterms:modified xsi:type="dcterms:W3CDTF">2025-11-29T11:05:16Z</dcterms:modified>
</cp:coreProperties>
</file>